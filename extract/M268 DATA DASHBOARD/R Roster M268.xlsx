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f41ddf8a805e1b/MASTER DATA DIGIMAP RAHMAN/"/>
    </mc:Choice>
  </mc:AlternateContent>
  <xr:revisionPtr revIDLastSave="1355" documentId="11_E60897F41BE170836B02CE998F75CCDC64E183C8" xr6:coauthVersionLast="47" xr6:coauthVersionMax="47" xr10:uidLastSave="{03125363-257F-4852-8563-842ED6CF8D37}"/>
  <bookViews>
    <workbookView xWindow="-110" yWindow="-110" windowWidth="19420" windowHeight="10300" firstSheet="1" activeTab="1" xr2:uid="{00000000-000D-0000-FFFF-FFFF00000000}"/>
  </bookViews>
  <sheets>
    <sheet name="MASTER MPP M268" sheetId="2" r:id="rId1"/>
    <sheet name="ROSTER" sheetId="1" r:id="rId2"/>
    <sheet name="Sheet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8" i="1" l="1" a="1"/>
  <c r="I26" i="1" a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AO3" i="1"/>
  <c r="G6" i="1"/>
  <c r="C3" i="1"/>
  <c r="Q8" i="2"/>
  <c r="W12" i="2"/>
  <c r="W13" i="2"/>
  <c r="T12" i="2"/>
  <c r="T13" i="2"/>
  <c r="Q12" i="2"/>
  <c r="Q13" i="2"/>
  <c r="M12" i="2"/>
  <c r="N12" i="2"/>
  <c r="M13" i="2"/>
  <c r="N13" i="2"/>
  <c r="M11" i="2"/>
  <c r="L12" i="2"/>
  <c r="L13" i="2"/>
  <c r="W11" i="2"/>
  <c r="W10" i="2"/>
  <c r="W9" i="2"/>
  <c r="W8" i="2"/>
  <c r="W7" i="2"/>
  <c r="W6" i="2"/>
  <c r="T11" i="2"/>
  <c r="T10" i="2"/>
  <c r="T9" i="2"/>
  <c r="T8" i="2"/>
  <c r="T7" i="2"/>
  <c r="T6" i="2"/>
  <c r="Q7" i="2"/>
  <c r="Q9" i="2"/>
  <c r="Q10" i="2"/>
  <c r="Q11" i="2"/>
  <c r="Q6" i="2"/>
  <c r="M7" i="2"/>
  <c r="N7" i="2"/>
  <c r="M8" i="2"/>
  <c r="N8" i="2"/>
  <c r="M9" i="2"/>
  <c r="N9" i="2"/>
  <c r="M10" i="2"/>
  <c r="N10" i="2"/>
  <c r="N11" i="2"/>
  <c r="M6" i="2"/>
  <c r="N6" i="2"/>
  <c r="L7" i="2"/>
  <c r="L8" i="2"/>
  <c r="L9" i="2"/>
  <c r="L10" i="2"/>
  <c r="L11" i="2"/>
  <c r="L6" i="2"/>
  <c r="G7" i="1"/>
  <c r="H6" i="1"/>
  <c r="H7" i="1"/>
  <c r="I6" i="1"/>
  <c r="I7" i="1"/>
  <c r="J6" i="1"/>
  <c r="J7" i="1"/>
  <c r="K6" i="1"/>
  <c r="K7" i="1"/>
  <c r="L6" i="1"/>
  <c r="L7" i="1"/>
  <c r="M6" i="1"/>
  <c r="M7" i="1"/>
  <c r="N6" i="1"/>
  <c r="N7" i="1"/>
  <c r="O6" i="1"/>
  <c r="O7" i="1"/>
  <c r="P6" i="1"/>
  <c r="P7" i="1"/>
  <c r="Q6" i="1"/>
  <c r="R6" i="1"/>
  <c r="Q7" i="1"/>
  <c r="S6" i="1"/>
  <c r="R7" i="1"/>
  <c r="T6" i="1"/>
  <c r="S7" i="1"/>
  <c r="U6" i="1"/>
  <c r="T7" i="1"/>
  <c r="V6" i="1"/>
  <c r="U7" i="1"/>
  <c r="V7" i="1"/>
  <c r="W6" i="1"/>
  <c r="W7" i="1"/>
  <c r="X6" i="1"/>
  <c r="X7" i="1"/>
  <c r="Y6" i="1"/>
  <c r="Y7" i="1"/>
  <c r="Z6" i="1"/>
  <c r="Z7" i="1"/>
  <c r="AA6" i="1"/>
  <c r="AA7" i="1"/>
  <c r="AB6" i="1"/>
  <c r="AB7" i="1"/>
  <c r="AC6" i="1"/>
  <c r="AC7" i="1"/>
  <c r="AD6" i="1"/>
  <c r="AD7" i="1"/>
  <c r="AE6" i="1"/>
  <c r="AE7" i="1"/>
  <c r="AF6" i="1"/>
  <c r="AF7" i="1"/>
  <c r="AG6" i="1"/>
  <c r="AG7" i="1"/>
  <c r="AH6" i="1"/>
  <c r="AH7" i="1"/>
  <c r="AI6" i="1"/>
  <c r="AI7" i="1"/>
  <c r="AJ6" i="1"/>
  <c r="AK6" i="1"/>
  <c r="AJ7" i="1"/>
  <c r="AK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I26" i="1"/>
  <c r="C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<sst xmlns="http://schemas.openxmlformats.org/spreadsheetml/2006/main" count="604" uniqueCount="99">
  <si>
    <t xml:space="preserve">Nama </t>
  </si>
  <si>
    <t>Nik</t>
  </si>
  <si>
    <t>Position</t>
  </si>
  <si>
    <t>Join Date</t>
  </si>
  <si>
    <t>Email Seed</t>
  </si>
  <si>
    <t>No Hp</t>
  </si>
  <si>
    <t>Nama</t>
  </si>
  <si>
    <t>Leave Balance</t>
  </si>
  <si>
    <t>Leave Date Q1</t>
  </si>
  <si>
    <t>Leave Date Q2</t>
  </si>
  <si>
    <t>Leave Date Q3</t>
  </si>
  <si>
    <t>Before Leave</t>
  </si>
  <si>
    <t>After Leave</t>
  </si>
  <si>
    <t>Start</t>
  </si>
  <si>
    <t>End</t>
  </si>
  <si>
    <t>Duration</t>
  </si>
  <si>
    <t>Rahman Ibrahim</t>
  </si>
  <si>
    <t>Store Supervisor</t>
  </si>
  <si>
    <t>Rahman.Digimap@gmail.com</t>
  </si>
  <si>
    <t>Virgina Bella Hattu</t>
  </si>
  <si>
    <t>Cashier</t>
  </si>
  <si>
    <t>Virginia.Digimap@gmail.com</t>
  </si>
  <si>
    <t>Daniela Karin Mansawan</t>
  </si>
  <si>
    <t>Store Trainer</t>
  </si>
  <si>
    <t>Daniela.Digimap@gmail.com</t>
  </si>
  <si>
    <t>23Desember 2026</t>
  </si>
  <si>
    <t>Rangga Fachrezy Siregar</t>
  </si>
  <si>
    <t>Sales assistant</t>
  </si>
  <si>
    <t>Rangga.Digimap@gmail.com</t>
  </si>
  <si>
    <t>Elang Sofyan</t>
  </si>
  <si>
    <t>Elang.Digimap@gmail.com</t>
  </si>
  <si>
    <t>Jonathan Jeremy Maisa</t>
  </si>
  <si>
    <t>Jonathan.Digimap@gmail.com</t>
  </si>
  <si>
    <t>Debby Chintya Dewi</t>
  </si>
  <si>
    <t>KRDSP15165</t>
  </si>
  <si>
    <t>Promotor Kredivo</t>
  </si>
  <si>
    <t>Nurapriani</t>
  </si>
  <si>
    <t>KRDSP13365</t>
  </si>
  <si>
    <t>R</t>
  </si>
  <si>
    <t>Morning</t>
  </si>
  <si>
    <t>D047</t>
  </si>
  <si>
    <t>Afternoon</t>
  </si>
  <si>
    <t>D103</t>
  </si>
  <si>
    <t>O</t>
  </si>
  <si>
    <t>OFF</t>
  </si>
  <si>
    <t>Public Holliday</t>
  </si>
  <si>
    <t>PH</t>
  </si>
  <si>
    <t>Middle</t>
  </si>
  <si>
    <t>D083</t>
  </si>
  <si>
    <t>Replace Off</t>
  </si>
  <si>
    <t>RO</t>
  </si>
  <si>
    <t>Leave</t>
  </si>
  <si>
    <t>X&amp;C</t>
  </si>
  <si>
    <t>ST Schedule</t>
  </si>
  <si>
    <t>Judul (</t>
  </si>
  <si>
    <t>Mac Starter</t>
  </si>
  <si>
    <t>Trade in Partner Program</t>
  </si>
  <si>
    <t>Trainig HO</t>
  </si>
  <si>
    <t>OPS VIDEO</t>
  </si>
  <si>
    <t>digiX</t>
  </si>
  <si>
    <t>Trainig Store</t>
  </si>
  <si>
    <t>Tanggal</t>
  </si>
  <si>
    <t>Hari</t>
  </si>
  <si>
    <t>Keterangan Libur</t>
  </si>
  <si>
    <t>Start Time</t>
  </si>
  <si>
    <t>End Time</t>
  </si>
  <si>
    <t>Day</t>
  </si>
  <si>
    <t>Date</t>
  </si>
  <si>
    <t>Kamis</t>
  </si>
  <si>
    <t>Tahun Baru 2026 Masehi</t>
  </si>
  <si>
    <t>Tuesday</t>
  </si>
  <si>
    <t xml:space="preserve">Week 1 </t>
  </si>
  <si>
    <t>Saturday</t>
  </si>
  <si>
    <t>Jumat</t>
  </si>
  <si>
    <t>Isra Mikraj Nabi Muhammad SAW</t>
  </si>
  <si>
    <t>Thursday</t>
  </si>
  <si>
    <t>Monday</t>
  </si>
  <si>
    <t>Selasa</t>
  </si>
  <si>
    <t>Tahun Baru Imlek 2577 Kongzili</t>
  </si>
  <si>
    <t>Wednesday</t>
  </si>
  <si>
    <t>Hari Suci Nyepi (Tahun Baru Saka 1948)</t>
  </si>
  <si>
    <t>21 – 22 Maret 2026</t>
  </si>
  <si>
    <t>Sabtu – Minggu</t>
  </si>
  <si>
    <t>Hari Raya Idulfitri 1447 Hijriah</t>
  </si>
  <si>
    <t>Friday</t>
  </si>
  <si>
    <t>Wafat Yesus Kristus</t>
  </si>
  <si>
    <t>Minggu</t>
  </si>
  <si>
    <t>Kebangkitan Yesus Kristus (Paskah)</t>
  </si>
  <si>
    <t>Hari Buruh Internasional</t>
  </si>
  <si>
    <t>Kenaikan Yesus Kristus</t>
  </si>
  <si>
    <t>Rabu</t>
  </si>
  <si>
    <t>Hari Raya Iduladha 1447 Hijriah</t>
  </si>
  <si>
    <t>Hari Raya Waisak 2570 BE</t>
  </si>
  <si>
    <t>Senin</t>
  </si>
  <si>
    <t>Hari Lahir Pancasila</t>
  </si>
  <si>
    <t>Tahun Baru Islam 1448 Hijriah</t>
  </si>
  <si>
    <t>Hari Proklamasi Kemerdekaan RI</t>
  </si>
  <si>
    <t>Maulid Nabi Muhammad SAW</t>
  </si>
  <si>
    <t>Hari Raya Natal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</si>
</sst>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21]dd\ mmmm\ yyyy;@"/>
    <numFmt numFmtId="165" formatCode="mmmm"/>
  </numFmts>
  <fonts count="1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1F1F1F"/>
      <name val="Google Sans Text"/>
      <family val="2"/>
      <charset val="1"/>
    </font>
    <font>
      <b/>
      <sz val="11"/>
      <color theme="0"/>
      <name val="Google Sans Text"/>
      <family val="2"/>
      <charset val="1"/>
    </font>
    <font>
      <b/>
      <sz val="28"/>
      <color theme="0"/>
      <name val="Calibri"/>
      <family val="2"/>
      <scheme val="minor"/>
    </font>
    <font>
      <b/>
      <sz val="26"/>
      <color theme="0"/>
      <name val="Blackadder ITC"/>
    </font>
    <font>
      <sz val="11"/>
      <color rgb="FFFF0000"/>
      <name val="Calibri"/>
      <family val="2"/>
      <scheme val="minor"/>
    </font>
    <font>
      <b/>
      <sz val="11"/>
      <color theme="0"/>
      <name val="Google Sans Text"/>
      <charset val="1"/>
    </font>
    <font>
      <b/>
      <sz val="11"/>
      <color theme="1"/>
      <name val="Google Sans Text"/>
      <charset val="1"/>
    </font>
    <font>
      <b/>
      <sz val="18"/>
      <color theme="0"/>
      <name val="Google Sans Text"/>
      <charset val="1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 style="thin">
        <color theme="2"/>
      </left>
      <right/>
      <top/>
      <bottom/>
      <diagonal/>
    </border>
    <border>
      <left style="thin">
        <color theme="2"/>
      </left>
      <right/>
      <top/>
      <bottom style="thin">
        <color theme="2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2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2"/>
      </bottom>
      <diagonal/>
    </border>
    <border>
      <left style="thin">
        <color theme="0"/>
      </left>
      <right style="thin">
        <color theme="0"/>
      </right>
      <top/>
      <bottom style="thin">
        <color theme="2"/>
      </bottom>
      <diagonal/>
    </border>
    <border>
      <left style="thin">
        <color theme="2"/>
      </left>
      <right style="thin">
        <color theme="0"/>
      </right>
      <top style="thin">
        <color theme="2"/>
      </top>
      <bottom/>
      <diagonal/>
    </border>
    <border>
      <left/>
      <right style="thin">
        <color theme="0"/>
      </right>
      <top/>
      <bottom style="thin">
        <color theme="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  <border>
      <left/>
      <right/>
      <top/>
      <bottom style="thin">
        <color rgb="FFC4C7C5"/>
      </bottom>
      <diagonal/>
    </border>
    <border>
      <left style="thin">
        <color rgb="FFC4C7C5"/>
      </left>
      <right/>
      <top style="thin">
        <color rgb="FFC4C7C5"/>
      </top>
      <bottom style="thin">
        <color rgb="FFC4C7C5"/>
      </bottom>
      <diagonal/>
    </border>
    <border>
      <left/>
      <right style="thin">
        <color rgb="FFC4C7C5"/>
      </right>
      <top style="thin">
        <color rgb="FFC4C7C5"/>
      </top>
      <bottom style="thin">
        <color rgb="FFC4C7C5"/>
      </bottom>
      <diagonal/>
    </border>
    <border>
      <left/>
      <right/>
      <top style="thin">
        <color rgb="FFC4C7C5"/>
      </top>
      <bottom/>
      <diagonal/>
    </border>
    <border>
      <left/>
      <right/>
      <top style="thin">
        <color rgb="FFC4C7C5"/>
      </top>
      <bottom style="thin">
        <color rgb="FFC4C7C5"/>
      </bottom>
      <diagonal/>
    </border>
    <border>
      <left style="thin">
        <color rgb="FFC4C7C5"/>
      </left>
      <right style="thin">
        <color rgb="FFC4C7C5"/>
      </right>
      <top style="thin">
        <color rgb="FFC4C7C5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rgb="FFC4C7C5"/>
      </left>
      <right style="thin">
        <color rgb="FFC4C7C5"/>
      </right>
      <top/>
      <bottom/>
      <diagonal/>
    </border>
    <border>
      <left style="thin">
        <color rgb="FFC4C7C5"/>
      </left>
      <right style="thin">
        <color rgb="FFC4C7C5"/>
      </right>
      <top/>
      <bottom style="thin">
        <color rgb="FFC4C7C5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164" fontId="0" fillId="0" borderId="23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64" fontId="0" fillId="0" borderId="26" xfId="0" applyNumberFormat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64" fontId="0" fillId="0" borderId="27" xfId="0" applyNumberFormat="1" applyBorder="1" applyAlignment="1">
      <alignment horizontal="center" vertical="center"/>
    </xf>
    <xf numFmtId="164" fontId="0" fillId="0" borderId="28" xfId="0" applyNumberFormat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6" borderId="0" xfId="0" applyFill="1"/>
    <xf numFmtId="16" fontId="4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16" fontId="0" fillId="4" borderId="0" xfId="0" applyNumberFormat="1" applyFill="1"/>
    <xf numFmtId="0" fontId="0" fillId="2" borderId="0" xfId="0" applyFill="1" applyAlignment="1">
      <alignment horizontal="center" vertical="center"/>
    </xf>
    <xf numFmtId="0" fontId="5" fillId="0" borderId="31" xfId="0" applyFont="1" applyBorder="1" applyAlignment="1">
      <alignment horizontal="center" vertical="center" readingOrder="1"/>
    </xf>
    <xf numFmtId="15" fontId="5" fillId="0" borderId="31" xfId="0" applyNumberFormat="1" applyFont="1" applyBorder="1" applyAlignment="1">
      <alignment horizontal="center" vertical="center" readingOrder="1"/>
    </xf>
    <xf numFmtId="0" fontId="6" fillId="3" borderId="31" xfId="0" applyFont="1" applyFill="1" applyBorder="1" applyAlignment="1">
      <alignment horizontal="center" vertical="center" readingOrder="1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left"/>
    </xf>
    <xf numFmtId="0" fontId="3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 readingOrder="1"/>
    </xf>
    <xf numFmtId="0" fontId="5" fillId="4" borderId="0" xfId="0" applyFont="1" applyFill="1" applyAlignment="1">
      <alignment horizontal="center" vertical="center" readingOrder="1"/>
    </xf>
    <xf numFmtId="0" fontId="0" fillId="0" borderId="30" xfId="0" applyBorder="1" applyAlignment="1">
      <alignment horizontal="center"/>
    </xf>
    <xf numFmtId="0" fontId="4" fillId="4" borderId="0" xfId="0" applyFont="1" applyFill="1" applyAlignment="1">
      <alignment horizontal="center"/>
    </xf>
    <xf numFmtId="164" fontId="0" fillId="0" borderId="0" xfId="0" applyNumberFormat="1" applyAlignment="1">
      <alignment horizontal="left"/>
    </xf>
    <xf numFmtId="0" fontId="1" fillId="0" borderId="0" xfId="1" applyFill="1" applyBorder="1" applyAlignment="1">
      <alignment horizontal="left"/>
    </xf>
    <xf numFmtId="0" fontId="1" fillId="0" borderId="0" xfId="1" applyAlignment="1">
      <alignment horizontal="left"/>
    </xf>
    <xf numFmtId="0" fontId="0" fillId="13" borderId="0" xfId="0" applyFill="1"/>
    <xf numFmtId="0" fontId="9" fillId="6" borderId="0" xfId="0" applyFont="1" applyFill="1"/>
    <xf numFmtId="16" fontId="9" fillId="6" borderId="0" xfId="0" applyNumberFormat="1" applyFont="1" applyFill="1"/>
    <xf numFmtId="0" fontId="0" fillId="0" borderId="0" xfId="0" applyFill="1"/>
    <xf numFmtId="0" fontId="0" fillId="0" borderId="0" xfId="0" applyFill="1" applyAlignment="1">
      <alignment horizontal="center"/>
    </xf>
    <xf numFmtId="0" fontId="10" fillId="3" borderId="33" xfId="0" applyFont="1" applyFill="1" applyBorder="1" applyAlignment="1">
      <alignment vertical="center" readingOrder="1"/>
    </xf>
    <xf numFmtId="0" fontId="10" fillId="3" borderId="37" xfId="0" applyFont="1" applyFill="1" applyBorder="1" applyAlignment="1">
      <alignment horizontal="center" vertical="center" readingOrder="1"/>
    </xf>
    <xf numFmtId="0" fontId="10" fillId="3" borderId="40" xfId="0" applyFont="1" applyFill="1" applyBorder="1" applyAlignment="1">
      <alignment horizontal="center" vertical="center" readingOrder="1"/>
    </xf>
    <xf numFmtId="0" fontId="10" fillId="3" borderId="41" xfId="0" applyFont="1" applyFill="1" applyBorder="1" applyAlignment="1">
      <alignment horizontal="center" vertical="center" readingOrder="1"/>
    </xf>
    <xf numFmtId="20" fontId="0" fillId="8" borderId="38" xfId="0" applyNumberFormat="1" applyFill="1" applyBorder="1" applyAlignment="1">
      <alignment horizontal="center"/>
    </xf>
    <xf numFmtId="14" fontId="13" fillId="0" borderId="0" xfId="0" applyNumberFormat="1" applyFont="1" applyFill="1" applyAlignment="1">
      <alignment horizontal="center"/>
    </xf>
    <xf numFmtId="0" fontId="0" fillId="8" borderId="38" xfId="0" applyFill="1" applyBorder="1" applyAlignment="1">
      <alignment horizontal="center"/>
    </xf>
    <xf numFmtId="0" fontId="0" fillId="0" borderId="39" xfId="0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5" fontId="7" fillId="3" borderId="0" xfId="0" applyNumberFormat="1" applyFont="1" applyFill="1" applyAlignment="1">
      <alignment horizontal="center" vertical="top"/>
    </xf>
    <xf numFmtId="165" fontId="8" fillId="3" borderId="0" xfId="0" applyNumberFormat="1" applyFont="1" applyFill="1" applyAlignment="1">
      <alignment horizontal="center" vertical="center"/>
    </xf>
    <xf numFmtId="0" fontId="11" fillId="8" borderId="38" xfId="0" applyFont="1" applyFill="1" applyBorder="1" applyAlignment="1">
      <alignment horizontal="center" vertical="center" readingOrder="1"/>
    </xf>
    <xf numFmtId="0" fontId="12" fillId="3" borderId="35" xfId="0" applyFont="1" applyFill="1" applyBorder="1" applyAlignment="1">
      <alignment horizontal="center" vertical="center" textRotation="255" readingOrder="1"/>
    </xf>
    <xf numFmtId="0" fontId="12" fillId="3" borderId="0" xfId="0" applyFont="1" applyFill="1" applyAlignment="1">
      <alignment horizontal="center" vertical="center" textRotation="255" readingOrder="1"/>
    </xf>
    <xf numFmtId="0" fontId="10" fillId="3" borderId="33" xfId="0" applyFont="1" applyFill="1" applyBorder="1" applyAlignment="1">
      <alignment horizontal="center" vertical="center" readingOrder="1"/>
    </xf>
    <xf numFmtId="0" fontId="10" fillId="3" borderId="36" xfId="0" applyFont="1" applyFill="1" applyBorder="1" applyAlignment="1">
      <alignment horizontal="center" vertical="center" readingOrder="1"/>
    </xf>
    <xf numFmtId="0" fontId="10" fillId="3" borderId="34" xfId="0" applyFont="1" applyFill="1" applyBorder="1" applyAlignment="1">
      <alignment horizontal="center" vertical="center" readingOrder="1"/>
    </xf>
    <xf numFmtId="0" fontId="12" fillId="3" borderId="0" xfId="0" applyFont="1" applyFill="1" applyBorder="1" applyAlignment="1">
      <alignment horizontal="center" vertical="center" textRotation="255" readingOrder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148">
    <dxf>
      <font>
        <color theme="7" tint="-0.249977111117893"/>
      </font>
    </dxf>
    <dxf>
      <font>
        <color theme="4" tint="-0.249977111117893"/>
      </font>
    </dxf>
    <dxf>
      <font>
        <color rgb="FFFF0000"/>
      </font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theme="7" tint="-0.249977111117893"/>
      </font>
    </dxf>
    <dxf>
      <font>
        <color theme="4" tint="-0.249977111117893"/>
      </font>
    </dxf>
    <dxf>
      <font>
        <color rgb="FFFF0000"/>
      </font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theme="7" tint="-0.249977111117893"/>
      </font>
    </dxf>
    <dxf>
      <font>
        <color theme="4" tint="-0.249977111117893"/>
      </font>
    </dxf>
    <dxf>
      <font>
        <color rgb="FFFF0000"/>
      </font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theme="7" tint="-0.249977111117893"/>
      </font>
    </dxf>
    <dxf>
      <font>
        <color theme="4" tint="-0.249977111117893"/>
      </font>
    </dxf>
    <dxf>
      <font>
        <color rgb="FFFF0000"/>
      </font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theme="7" tint="-0.249977111117893"/>
      </font>
    </dxf>
    <dxf>
      <font>
        <color theme="4" tint="-0.249977111117893"/>
      </font>
    </dxf>
    <dxf>
      <font>
        <color rgb="FFFF0000"/>
      </font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theme="7" tint="-0.249977111117893"/>
      </font>
    </dxf>
    <dxf>
      <font>
        <color theme="4" tint="-0.249977111117893"/>
      </font>
    </dxf>
    <dxf>
      <font>
        <color rgb="FFFF0000"/>
      </font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theme="7" tint="-0.249977111117893"/>
      </font>
    </dxf>
    <dxf>
      <font>
        <color theme="4" tint="-0.249977111117893"/>
      </font>
    </dxf>
    <dxf>
      <font>
        <color rgb="FFFF0000"/>
      </font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theme="7" tint="-0.249977111117893"/>
      </font>
    </dxf>
    <dxf>
      <font>
        <color theme="4" tint="-0.249977111117893"/>
      </font>
    </dxf>
    <dxf>
      <font>
        <color rgb="FFFF0000"/>
      </font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theme="7" tint="-0.249977111117893"/>
      </font>
    </dxf>
    <dxf>
      <font>
        <color theme="4" tint="-0.249977111117893"/>
      </font>
    </dxf>
    <dxf>
      <font>
        <color rgb="FFFF0000"/>
      </font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theme="7" tint="-0.249977111117893"/>
      </font>
    </dxf>
    <dxf>
      <font>
        <color theme="4" tint="-0.249977111117893"/>
      </font>
    </dxf>
    <dxf>
      <font>
        <color rgb="FFFF0000"/>
      </font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theme="7" tint="-0.249977111117893"/>
      </font>
    </dxf>
    <dxf>
      <font>
        <color theme="4" tint="-0.249977111117893"/>
      </font>
    </dxf>
    <dxf>
      <font>
        <color rgb="FFFF0000"/>
      </font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theme="7" tint="-0.249977111117893"/>
      </font>
    </dxf>
    <dxf>
      <font>
        <color theme="4" tint="-0.249977111117893"/>
      </font>
    </dxf>
    <dxf>
      <font>
        <color rgb="FFFF0000"/>
      </font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theme="7" tint="-0.249977111117893"/>
      </font>
    </dxf>
    <dxf>
      <font>
        <color theme="4" tint="-0.249977111117893"/>
      </font>
    </dxf>
    <dxf>
      <font>
        <color rgb="FFFF0000"/>
      </font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theme="7" tint="-0.249977111117893"/>
      </font>
    </dxf>
    <dxf>
      <font>
        <color theme="4" tint="-0.249977111117893"/>
      </font>
    </dxf>
    <dxf>
      <font>
        <color rgb="FFFF0000"/>
      </font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theme="7" tint="-0.249977111117893"/>
      </font>
    </dxf>
    <dxf>
      <font>
        <color theme="4" tint="-0.249977111117893"/>
      </font>
    </dxf>
    <dxf>
      <font>
        <color rgb="FFFF0000"/>
      </font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theme="7" tint="-0.249977111117893"/>
      </font>
    </dxf>
    <dxf>
      <font>
        <color theme="4" tint="-0.249977111117893"/>
      </font>
    </dxf>
    <dxf>
      <font>
        <color rgb="FFFF0000"/>
      </font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theme="7" tint="-0.249977111117893"/>
      </font>
    </dxf>
    <dxf>
      <font>
        <color theme="4" tint="-0.249977111117893"/>
      </font>
    </dxf>
    <dxf>
      <font>
        <color rgb="FFFF0000"/>
      </font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theme="7" tint="-0.249977111117893"/>
      </font>
    </dxf>
    <dxf>
      <font>
        <color theme="4" tint="-0.249977111117893"/>
      </font>
    </dxf>
    <dxf>
      <font>
        <color rgb="FFFF0000"/>
      </font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theme="7" tint="-0.249977111117893"/>
      </font>
    </dxf>
    <dxf>
      <font>
        <color theme="4" tint="-0.249977111117893"/>
      </font>
    </dxf>
    <dxf>
      <font>
        <color rgb="FFFF0000"/>
      </font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theme="7" tint="-0.249977111117893"/>
      </font>
    </dxf>
    <dxf>
      <font>
        <color theme="4" tint="-0.249977111117893"/>
      </font>
    </dxf>
    <dxf>
      <font>
        <color rgb="FFFF0000"/>
      </font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theme="7" tint="-0.249977111117893"/>
      </font>
    </dxf>
    <dxf>
      <font>
        <color theme="4" tint="-0.249977111117893"/>
      </font>
    </dxf>
    <dxf>
      <font>
        <color rgb="FFFF0000"/>
      </font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1"/>
        </patternFill>
      </fill>
    </dxf>
    <dxf>
      <font>
        <color rgb="FFFF0000"/>
      </font>
      <fill>
        <patternFill patternType="solid">
          <bgColor rgb="FFFFFF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57150</xdr:colOff>
      <xdr:row>25</xdr:row>
      <xdr:rowOff>76200</xdr:rowOff>
    </xdr:from>
    <xdr:to>
      <xdr:col>23</xdr:col>
      <xdr:colOff>552450</xdr:colOff>
      <xdr:row>27</xdr:row>
      <xdr:rowOff>76200</xdr:rowOff>
    </xdr:to>
    <xdr:sp macro="" textlink="">
      <xdr:nvSpPr>
        <xdr:cNvPr id="5" name="Left Arrow 1">
          <a:extLst>
            <a:ext uri="{FF2B5EF4-FFF2-40B4-BE49-F238E27FC236}">
              <a16:creationId xmlns:a16="http://schemas.microsoft.com/office/drawing/2014/main" id="{E0487A21-EA1F-B606-A8CC-3944E99868D6}"/>
            </a:ext>
          </a:extLst>
        </xdr:cNvPr>
        <xdr:cNvSpPr/>
      </xdr:nvSpPr>
      <xdr:spPr>
        <a:xfrm>
          <a:off x="17592675" y="5200650"/>
          <a:ext cx="495300" cy="381000"/>
        </a:xfrm>
        <a:prstGeom prst="leftArrow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36</xdr:col>
      <xdr:colOff>38100</xdr:colOff>
      <xdr:row>25</xdr:row>
      <xdr:rowOff>66675</xdr:rowOff>
    </xdr:from>
    <xdr:to>
      <xdr:col>36</xdr:col>
      <xdr:colOff>533400</xdr:colOff>
      <xdr:row>27</xdr:row>
      <xdr:rowOff>66675</xdr:rowOff>
    </xdr:to>
    <xdr:sp macro="" textlink="">
      <xdr:nvSpPr>
        <xdr:cNvPr id="4" name="Left Arrow 1">
          <a:extLst>
            <a:ext uri="{FF2B5EF4-FFF2-40B4-BE49-F238E27FC236}">
              <a16:creationId xmlns:a16="http://schemas.microsoft.com/office/drawing/2014/main" id="{B3C97548-1C11-431E-80BF-DADDD195C840}"/>
            </a:ext>
            <a:ext uri="{147F2762-F138-4A5C-976F-8EAC2B608ADB}">
              <a16:predDERef xmlns:a16="http://schemas.microsoft.com/office/drawing/2014/main" pred="{E0487A21-EA1F-B606-A8CC-3944E99868D6}"/>
            </a:ext>
          </a:extLst>
        </xdr:cNvPr>
        <xdr:cNvSpPr/>
      </xdr:nvSpPr>
      <xdr:spPr>
        <a:xfrm>
          <a:off x="25784175" y="5191125"/>
          <a:ext cx="495300" cy="381000"/>
        </a:xfrm>
        <a:prstGeom prst="leftArrow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14135AB-18A3-45D4-A8DA-E591C133AF90}">
  <we:reference id="WA104051163" version="1.2.0.3" store="id-ID" storeType="omex"/>
  <we:alternateReferences>
    <we:reference id="WA104051163" version="1.2.0.3" store="omex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lang.Digimap@gmail.com" TargetMode="External"/><Relationship Id="rId2" Type="http://schemas.openxmlformats.org/officeDocument/2006/relationships/hyperlink" Target="mailto:Rangga.Digimap@gmail.com" TargetMode="External"/><Relationship Id="rId1" Type="http://schemas.openxmlformats.org/officeDocument/2006/relationships/hyperlink" Target="mailto:Rahman.Digimap@gmail.com" TargetMode="External"/><Relationship Id="rId6" Type="http://schemas.openxmlformats.org/officeDocument/2006/relationships/hyperlink" Target="mailto:Daniela.Digimap@gmail.com" TargetMode="External"/><Relationship Id="rId5" Type="http://schemas.openxmlformats.org/officeDocument/2006/relationships/hyperlink" Target="mailto:Virginia.Digimap@gmail.com" TargetMode="External"/><Relationship Id="rId4" Type="http://schemas.openxmlformats.org/officeDocument/2006/relationships/hyperlink" Target="mailto:Jonathan.Digimap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56447-0B73-4DF4-BA5D-1805899CD053}">
  <dimension ref="B1:AC22"/>
  <sheetViews>
    <sheetView topLeftCell="E2" zoomScale="59" workbookViewId="0">
      <selection activeCell="O7" sqref="O7"/>
    </sheetView>
  </sheetViews>
  <sheetFormatPr defaultColWidth="9.140625" defaultRowHeight="15"/>
  <cols>
    <col min="1" max="1" width="2.7109375" style="1" customWidth="1"/>
    <col min="2" max="2" width="9.140625" style="1"/>
    <col min="3" max="3" width="23.140625" style="1" bestFit="1" customWidth="1"/>
    <col min="4" max="4" width="14.7109375" style="1" customWidth="1"/>
    <col min="5" max="5" width="16.85546875" style="1" bestFit="1" customWidth="1"/>
    <col min="6" max="6" width="15" style="2" bestFit="1" customWidth="1"/>
    <col min="7" max="7" width="28.28515625" style="1" bestFit="1" customWidth="1"/>
    <col min="8" max="8" width="13.28515625" style="1" bestFit="1" customWidth="1"/>
    <col min="9" max="11" width="9.140625" style="1"/>
    <col min="12" max="12" width="23.140625" style="1" bestFit="1" customWidth="1"/>
    <col min="13" max="13" width="13.5703125" style="1" bestFit="1" customWidth="1"/>
    <col min="14" max="14" width="11.140625" style="1" bestFit="1" customWidth="1"/>
    <col min="15" max="15" width="18.140625" style="1" bestFit="1" customWidth="1"/>
    <col min="16" max="16" width="18.5703125" style="1" bestFit="1" customWidth="1"/>
    <col min="17" max="17" width="9.28515625" style="1" bestFit="1" customWidth="1"/>
    <col min="18" max="18" width="18.140625" style="1" bestFit="1" customWidth="1"/>
    <col min="19" max="19" width="18.5703125" style="1" bestFit="1" customWidth="1"/>
    <col min="20" max="20" width="9.28515625" style="1" bestFit="1" customWidth="1"/>
    <col min="21" max="21" width="18.140625" style="1" bestFit="1" customWidth="1"/>
    <col min="22" max="22" width="18.5703125" style="1" bestFit="1" customWidth="1"/>
    <col min="23" max="23" width="9.28515625" style="1" bestFit="1" customWidth="1"/>
    <col min="24" max="26" width="9.140625" style="1"/>
    <col min="27" max="27" width="23.85546875" style="60" customWidth="1"/>
    <col min="28" max="28" width="12.28515625" style="60" bestFit="1" customWidth="1"/>
    <col min="29" max="29" width="39.28515625" style="60" bestFit="1" customWidth="1"/>
    <col min="30" max="16384" width="9.140625" style="1"/>
  </cols>
  <sheetData>
    <row r="1" spans="2:24" hidden="1"/>
    <row r="3" spans="2:24">
      <c r="B3" s="4"/>
      <c r="C3" s="4"/>
      <c r="D3" s="4"/>
      <c r="E3" s="4"/>
      <c r="F3" s="5"/>
      <c r="G3" s="4"/>
      <c r="H3" s="4"/>
      <c r="I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2:24" ht="15.75" customHeight="1">
      <c r="B4" s="4"/>
      <c r="C4" s="91" t="s">
        <v>0</v>
      </c>
      <c r="D4" s="91" t="s">
        <v>1</v>
      </c>
      <c r="E4" s="91" t="s">
        <v>2</v>
      </c>
      <c r="F4" s="91" t="s">
        <v>3</v>
      </c>
      <c r="G4" s="91" t="s">
        <v>4</v>
      </c>
      <c r="H4" s="91" t="s">
        <v>5</v>
      </c>
      <c r="I4" s="4"/>
      <c r="K4" s="4"/>
      <c r="L4" s="101" t="s">
        <v>6</v>
      </c>
      <c r="M4" s="101" t="s">
        <v>7</v>
      </c>
      <c r="N4" s="101"/>
      <c r="O4" s="101" t="s">
        <v>8</v>
      </c>
      <c r="P4" s="101"/>
      <c r="Q4" s="101"/>
      <c r="R4" s="101" t="s">
        <v>9</v>
      </c>
      <c r="S4" s="101"/>
      <c r="T4" s="101"/>
      <c r="U4" s="101" t="s">
        <v>10</v>
      </c>
      <c r="V4" s="101"/>
      <c r="W4" s="101"/>
      <c r="X4" s="4"/>
    </row>
    <row r="5" spans="2:24" ht="15.75" customHeight="1">
      <c r="B5" s="4"/>
      <c r="C5" s="91"/>
      <c r="D5" s="91"/>
      <c r="E5" s="91"/>
      <c r="F5" s="91"/>
      <c r="G5" s="91"/>
      <c r="H5" s="91"/>
      <c r="I5" s="4"/>
      <c r="K5" s="4"/>
      <c r="L5" s="101"/>
      <c r="M5" s="89" t="s">
        <v>11</v>
      </c>
      <c r="N5" s="89" t="s">
        <v>12</v>
      </c>
      <c r="O5" s="89" t="s">
        <v>13</v>
      </c>
      <c r="P5" s="89" t="s">
        <v>14</v>
      </c>
      <c r="Q5" s="89" t="s">
        <v>15</v>
      </c>
      <c r="R5" s="89" t="s">
        <v>13</v>
      </c>
      <c r="S5" s="89" t="s">
        <v>14</v>
      </c>
      <c r="T5" s="89" t="s">
        <v>15</v>
      </c>
      <c r="U5" s="89" t="s">
        <v>13</v>
      </c>
      <c r="V5" s="89" t="s">
        <v>14</v>
      </c>
      <c r="W5" s="89" t="s">
        <v>15</v>
      </c>
      <c r="X5" s="4"/>
    </row>
    <row r="6" spans="2:24" ht="21" customHeight="1">
      <c r="B6" s="4"/>
      <c r="C6" s="65" t="s">
        <v>16</v>
      </c>
      <c r="D6" s="65">
        <v>25013156</v>
      </c>
      <c r="E6" s="65" t="s">
        <v>17</v>
      </c>
      <c r="F6" s="71">
        <v>45852</v>
      </c>
      <c r="G6" s="72" t="s">
        <v>18</v>
      </c>
      <c r="H6" s="65">
        <v>81248764480</v>
      </c>
      <c r="I6" s="4"/>
      <c r="K6" s="4"/>
      <c r="L6" s="7" t="str">
        <f t="shared" ref="L6:L11" si="0">C6</f>
        <v>Rahman Ibrahim</v>
      </c>
      <c r="M6" s="6">
        <f t="shared" ref="M6:M11" ca="1" si="1">IF(DATEDIF(F6, TODAY(), "Y") &gt;= 1, 12, 0)</f>
        <v>12</v>
      </c>
      <c r="N6" s="6">
        <f t="shared" ref="N6:N11" ca="1" si="2">M6-Q6-T6-W6</f>
        <v>7</v>
      </c>
      <c r="O6" s="16">
        <v>46262</v>
      </c>
      <c r="P6" s="11">
        <v>46266</v>
      </c>
      <c r="Q6" s="6">
        <f t="shared" ref="Q6:Q11" si="3">IF(OR(O6="", P6=""), 0, (P6 - O6) + 1)</f>
        <v>5</v>
      </c>
      <c r="R6" s="16"/>
      <c r="S6" s="10"/>
      <c r="T6" s="6">
        <f t="shared" ref="T6:T11" si="4">IF(OR(R6="", S6=""), 0, (S6 - R6) + 1)</f>
        <v>0</v>
      </c>
      <c r="U6" s="37"/>
      <c r="V6" s="43"/>
      <c r="W6" s="6">
        <f t="shared" ref="W6:W11" si="5">IF(OR(U6="", V6=""), 0, (V6 - U6) + 1)</f>
        <v>0</v>
      </c>
      <c r="X6" s="4"/>
    </row>
    <row r="7" spans="2:24">
      <c r="B7" s="4"/>
      <c r="C7" s="65" t="s">
        <v>19</v>
      </c>
      <c r="D7" s="65">
        <v>25013174</v>
      </c>
      <c r="E7" s="65" t="s">
        <v>20</v>
      </c>
      <c r="F7" s="71">
        <v>45852</v>
      </c>
      <c r="G7" s="72" t="s">
        <v>21</v>
      </c>
      <c r="H7" s="65">
        <v>82199204917</v>
      </c>
      <c r="I7" s="4"/>
      <c r="K7" s="4"/>
      <c r="L7" s="7" t="str">
        <f t="shared" si="0"/>
        <v>Virgina Bella Hattu</v>
      </c>
      <c r="M7" s="6">
        <f t="shared" ca="1" si="1"/>
        <v>12</v>
      </c>
      <c r="N7" s="6">
        <f t="shared" ca="1" si="2"/>
        <v>7</v>
      </c>
      <c r="O7" s="17">
        <v>46323</v>
      </c>
      <c r="P7" s="9">
        <v>46327</v>
      </c>
      <c r="Q7" s="6">
        <f t="shared" si="3"/>
        <v>5</v>
      </c>
      <c r="R7" s="16"/>
      <c r="S7" s="10"/>
      <c r="T7" s="6">
        <f t="shared" si="4"/>
        <v>0</v>
      </c>
      <c r="U7" s="44"/>
      <c r="V7" s="45"/>
      <c r="W7" s="6">
        <f t="shared" si="5"/>
        <v>0</v>
      </c>
      <c r="X7" s="4"/>
    </row>
    <row r="8" spans="2:24">
      <c r="B8" s="4"/>
      <c r="C8" s="65" t="s">
        <v>22</v>
      </c>
      <c r="D8" s="65">
        <v>25013173</v>
      </c>
      <c r="E8" s="65" t="s">
        <v>23</v>
      </c>
      <c r="F8" s="71">
        <v>45852</v>
      </c>
      <c r="G8" s="72" t="s">
        <v>24</v>
      </c>
      <c r="H8" s="65">
        <v>81240807081</v>
      </c>
      <c r="I8" s="4"/>
      <c r="K8" s="4"/>
      <c r="L8" s="7" t="str">
        <f t="shared" si="0"/>
        <v>Daniela Karin Mansawan</v>
      </c>
      <c r="M8" s="6">
        <f t="shared" ca="1" si="1"/>
        <v>12</v>
      </c>
      <c r="N8" s="6">
        <f t="shared" ca="1" si="2"/>
        <v>7</v>
      </c>
      <c r="O8" s="17" t="s">
        <v>25</v>
      </c>
      <c r="P8" s="9">
        <v>46383</v>
      </c>
      <c r="Q8" s="6">
        <f t="shared" si="3"/>
        <v>5</v>
      </c>
      <c r="R8" s="16"/>
      <c r="S8" s="10"/>
      <c r="T8" s="6">
        <f t="shared" si="4"/>
        <v>0</v>
      </c>
      <c r="U8" s="46"/>
      <c r="V8" s="19"/>
      <c r="W8" s="6">
        <f t="shared" si="5"/>
        <v>0</v>
      </c>
      <c r="X8" s="4"/>
    </row>
    <row r="9" spans="2:24">
      <c r="B9" s="4"/>
      <c r="C9" s="65" t="s">
        <v>26</v>
      </c>
      <c r="D9" s="65">
        <v>25013166</v>
      </c>
      <c r="E9" s="65" t="s">
        <v>27</v>
      </c>
      <c r="F9" s="71">
        <v>45852</v>
      </c>
      <c r="G9" s="72" t="s">
        <v>28</v>
      </c>
      <c r="H9" s="65">
        <v>85251496633</v>
      </c>
      <c r="I9" s="4"/>
      <c r="K9" s="4"/>
      <c r="L9" s="7" t="str">
        <f t="shared" si="0"/>
        <v>Rangga Fachrezy Siregar</v>
      </c>
      <c r="M9" s="6">
        <f t="shared" ca="1" si="1"/>
        <v>12</v>
      </c>
      <c r="N9" s="6">
        <f t="shared" ca="1" si="2"/>
        <v>7</v>
      </c>
      <c r="O9" s="18">
        <v>46354</v>
      </c>
      <c r="P9" s="19">
        <v>46358</v>
      </c>
      <c r="Q9" s="6">
        <f t="shared" si="3"/>
        <v>5</v>
      </c>
      <c r="R9" s="23"/>
      <c r="S9" s="8"/>
      <c r="T9" s="6">
        <f t="shared" si="4"/>
        <v>0</v>
      </c>
      <c r="U9" s="38"/>
      <c r="V9" s="9"/>
      <c r="W9" s="6">
        <f t="shared" si="5"/>
        <v>0</v>
      </c>
      <c r="X9" s="4"/>
    </row>
    <row r="10" spans="2:24">
      <c r="B10" s="4"/>
      <c r="C10" s="65" t="s">
        <v>29</v>
      </c>
      <c r="D10" s="65">
        <v>26024843</v>
      </c>
      <c r="E10" s="65" t="s">
        <v>27</v>
      </c>
      <c r="F10" s="71">
        <v>46032</v>
      </c>
      <c r="G10" s="72" t="s">
        <v>30</v>
      </c>
      <c r="H10" s="65">
        <v>81248725920</v>
      </c>
      <c r="I10" s="4"/>
      <c r="K10" s="4"/>
      <c r="L10" s="7" t="str">
        <f t="shared" si="0"/>
        <v>Elang Sofyan</v>
      </c>
      <c r="M10" s="6">
        <f t="shared" ca="1" si="1"/>
        <v>0</v>
      </c>
      <c r="N10" s="6">
        <f t="shared" ca="1" si="2"/>
        <v>0</v>
      </c>
      <c r="O10" s="20"/>
      <c r="P10" s="9"/>
      <c r="Q10" s="6">
        <f t="shared" si="3"/>
        <v>0</v>
      </c>
      <c r="R10" s="17"/>
      <c r="S10" s="20"/>
      <c r="T10" s="6">
        <f t="shared" si="4"/>
        <v>0</v>
      </c>
      <c r="U10" s="39"/>
      <c r="V10" s="32"/>
      <c r="W10" s="6">
        <f t="shared" si="5"/>
        <v>0</v>
      </c>
      <c r="X10" s="4"/>
    </row>
    <row r="11" spans="2:24">
      <c r="B11" s="4"/>
      <c r="C11" s="65" t="s">
        <v>31</v>
      </c>
      <c r="D11" s="65">
        <v>26029247</v>
      </c>
      <c r="E11" s="65" t="s">
        <v>27</v>
      </c>
      <c r="F11" s="71">
        <v>46109</v>
      </c>
      <c r="G11" s="72" t="s">
        <v>32</v>
      </c>
      <c r="H11" s="65">
        <v>81283343614</v>
      </c>
      <c r="I11" s="4"/>
      <c r="K11" s="4"/>
      <c r="L11" s="7" t="str">
        <f t="shared" si="0"/>
        <v>Jonathan Jeremy Maisa</v>
      </c>
      <c r="M11" s="6">
        <f t="shared" ca="1" si="1"/>
        <v>0</v>
      </c>
      <c r="N11" s="6">
        <f t="shared" ca="1" si="2"/>
        <v>0</v>
      </c>
      <c r="O11" s="10"/>
      <c r="P11" s="11"/>
      <c r="Q11" s="6">
        <f t="shared" si="3"/>
        <v>0</v>
      </c>
      <c r="R11" s="16"/>
      <c r="S11" s="10"/>
      <c r="T11" s="30">
        <f t="shared" si="4"/>
        <v>0</v>
      </c>
      <c r="U11" s="31"/>
      <c r="V11" s="47"/>
      <c r="W11" s="15">
        <f t="shared" si="5"/>
        <v>0</v>
      </c>
      <c r="X11" s="4"/>
    </row>
    <row r="12" spans="2:24">
      <c r="B12" s="4"/>
      <c r="C12" s="65" t="s">
        <v>33</v>
      </c>
      <c r="D12" s="65" t="s">
        <v>34</v>
      </c>
      <c r="E12" s="65" t="s">
        <v>35</v>
      </c>
      <c r="F12" s="71">
        <v>46249</v>
      </c>
      <c r="G12" s="65"/>
      <c r="H12" s="65">
        <v>81292856110</v>
      </c>
      <c r="I12" s="4"/>
      <c r="K12" s="4"/>
      <c r="L12" s="7" t="str">
        <f t="shared" ref="L12:L13" si="6">C12</f>
        <v>Debby Chintya Dewi</v>
      </c>
      <c r="M12" s="6">
        <f t="shared" ref="M12:M13" ca="1" si="7">IF(DATEDIF(F12, TODAY(), "Y") &gt;= 1, 12, 0)</f>
        <v>0</v>
      </c>
      <c r="N12" s="6">
        <f t="shared" ref="N12:N13" ca="1" si="8">M12-Q12-T12-W12</f>
        <v>0</v>
      </c>
      <c r="O12" s="14"/>
      <c r="P12" s="15"/>
      <c r="Q12" s="6">
        <f t="shared" ref="Q12:Q13" si="9">IF(OR(O12="", P12=""), 0, (P12 - O12) + 1)</f>
        <v>0</v>
      </c>
      <c r="R12" s="28"/>
      <c r="S12" s="14"/>
      <c r="T12" s="30">
        <f t="shared" ref="T12:T13" si="10">IF(OR(R12="", S12=""), 0, (S12 - R12) + 1)</f>
        <v>0</v>
      </c>
      <c r="U12" s="35"/>
      <c r="V12" s="28"/>
      <c r="W12" s="15">
        <f t="shared" ref="W12:W13" si="11">IF(OR(U12="", V12=""), 0, (V12 - U12) + 1)</f>
        <v>0</v>
      </c>
      <c r="X12" s="4"/>
    </row>
    <row r="13" spans="2:24">
      <c r="B13" s="4"/>
      <c r="C13" s="65" t="s">
        <v>36</v>
      </c>
      <c r="D13" s="65" t="s">
        <v>37</v>
      </c>
      <c r="E13" s="65" t="s">
        <v>35</v>
      </c>
      <c r="F13" s="71">
        <v>46141</v>
      </c>
      <c r="G13" s="65"/>
      <c r="H13" s="65">
        <v>81225227234</v>
      </c>
      <c r="I13" s="4"/>
      <c r="K13" s="4"/>
      <c r="L13" s="7" t="str">
        <f t="shared" si="6"/>
        <v>Nurapriani</v>
      </c>
      <c r="M13" s="6">
        <f t="shared" ca="1" si="7"/>
        <v>0</v>
      </c>
      <c r="N13" s="6">
        <f t="shared" ca="1" si="8"/>
        <v>0</v>
      </c>
      <c r="O13" s="14"/>
      <c r="P13" s="15"/>
      <c r="Q13" s="6">
        <f t="shared" si="9"/>
        <v>0</v>
      </c>
      <c r="R13" s="28"/>
      <c r="S13" s="14"/>
      <c r="T13" s="30">
        <f t="shared" si="10"/>
        <v>0</v>
      </c>
      <c r="U13" s="33"/>
      <c r="V13" s="27"/>
      <c r="W13" s="15">
        <f t="shared" si="11"/>
        <v>0</v>
      </c>
      <c r="X13" s="4"/>
    </row>
    <row r="14" spans="2:24">
      <c r="B14" s="4"/>
      <c r="C14" s="65"/>
      <c r="D14" s="65"/>
      <c r="E14" s="65"/>
      <c r="F14" s="71"/>
      <c r="G14" s="73"/>
      <c r="H14" s="65"/>
      <c r="I14" s="4"/>
      <c r="K14" s="4"/>
      <c r="L14" s="7"/>
      <c r="M14" s="6"/>
      <c r="N14" s="6"/>
      <c r="O14" s="14"/>
      <c r="P14" s="15"/>
      <c r="Q14" s="6"/>
      <c r="R14" s="28"/>
      <c r="S14" s="14"/>
      <c r="T14" s="6"/>
      <c r="U14" s="48"/>
      <c r="V14" s="49"/>
      <c r="W14" s="21"/>
      <c r="X14" s="4"/>
    </row>
    <row r="15" spans="2:24">
      <c r="B15" s="4"/>
      <c r="C15" s="65"/>
      <c r="D15" s="65"/>
      <c r="E15" s="65"/>
      <c r="F15" s="71"/>
      <c r="G15" s="65"/>
      <c r="H15" s="65"/>
      <c r="I15" s="4"/>
      <c r="K15" s="4"/>
      <c r="L15" s="7"/>
      <c r="M15" s="6"/>
      <c r="N15" s="6"/>
      <c r="O15" s="14"/>
      <c r="P15" s="15"/>
      <c r="Q15" s="6"/>
      <c r="R15" s="28"/>
      <c r="S15" s="14"/>
      <c r="T15" s="6"/>
      <c r="U15" s="42"/>
      <c r="V15" s="29"/>
      <c r="W15" s="6"/>
      <c r="X15" s="4"/>
    </row>
    <row r="16" spans="2:24">
      <c r="B16" s="4"/>
      <c r="C16" s="65"/>
      <c r="D16" s="65"/>
      <c r="E16" s="65"/>
      <c r="F16" s="71"/>
      <c r="G16" s="65"/>
      <c r="H16" s="65"/>
      <c r="I16" s="4"/>
      <c r="K16" s="4"/>
      <c r="L16" s="7"/>
      <c r="M16" s="6"/>
      <c r="N16" s="6"/>
      <c r="O16" s="14"/>
      <c r="P16" s="15"/>
      <c r="Q16" s="6"/>
      <c r="R16" s="27"/>
      <c r="S16" s="12"/>
      <c r="T16" s="6"/>
      <c r="U16" s="42"/>
      <c r="V16" s="29"/>
      <c r="W16" s="6"/>
      <c r="X16" s="4"/>
    </row>
    <row r="17" spans="2:24">
      <c r="B17" s="4"/>
      <c r="C17" s="65"/>
      <c r="D17" s="65"/>
      <c r="E17" s="65"/>
      <c r="F17" s="71"/>
      <c r="G17" s="65"/>
      <c r="H17" s="65"/>
      <c r="I17" s="4"/>
      <c r="K17" s="4"/>
      <c r="L17" s="7"/>
      <c r="M17" s="6"/>
      <c r="N17" s="6"/>
      <c r="O17" s="14"/>
      <c r="P17" s="15"/>
      <c r="Q17" s="6"/>
      <c r="R17" s="26"/>
      <c r="S17" s="22"/>
      <c r="T17" s="6"/>
      <c r="U17" s="40"/>
      <c r="V17" s="34"/>
      <c r="W17" s="6"/>
      <c r="X17" s="4"/>
    </row>
    <row r="18" spans="2:24">
      <c r="B18" s="4"/>
      <c r="C18" s="65"/>
      <c r="D18" s="65"/>
      <c r="E18" s="65"/>
      <c r="F18" s="71"/>
      <c r="G18" s="65"/>
      <c r="H18" s="65"/>
      <c r="I18" s="4"/>
      <c r="K18" s="4"/>
      <c r="L18" s="7"/>
      <c r="M18" s="6"/>
      <c r="N18" s="6"/>
      <c r="O18" s="14"/>
      <c r="P18" s="15"/>
      <c r="Q18" s="6"/>
      <c r="R18" s="25"/>
      <c r="S18" s="24"/>
      <c r="T18" s="6"/>
      <c r="U18" s="41"/>
      <c r="V18" s="36"/>
      <c r="W18" s="6"/>
      <c r="X18" s="4"/>
    </row>
    <row r="19" spans="2:24">
      <c r="B19" s="4"/>
      <c r="C19" s="65"/>
      <c r="D19" s="65"/>
      <c r="E19" s="65"/>
      <c r="F19" s="71"/>
      <c r="G19" s="65"/>
      <c r="H19" s="65"/>
      <c r="I19" s="4"/>
      <c r="K19" s="4"/>
      <c r="L19" s="7"/>
      <c r="M19" s="6"/>
      <c r="N19" s="6"/>
      <c r="O19" s="12"/>
      <c r="P19" s="13"/>
      <c r="Q19" s="6"/>
      <c r="R19" s="27"/>
      <c r="S19" s="12"/>
      <c r="T19" s="6"/>
      <c r="U19" s="42"/>
      <c r="V19" s="29"/>
      <c r="W19" s="6"/>
      <c r="X19" s="4"/>
    </row>
    <row r="20" spans="2:24">
      <c r="B20" s="4"/>
      <c r="C20" s="65"/>
      <c r="D20" s="65"/>
      <c r="E20" s="65"/>
      <c r="F20" s="71"/>
      <c r="G20" s="65"/>
      <c r="H20" s="65"/>
      <c r="I20" s="4"/>
      <c r="K20" s="4"/>
      <c r="L20" s="7"/>
      <c r="M20" s="6"/>
      <c r="N20" s="6"/>
      <c r="O20" s="22"/>
      <c r="P20" s="21"/>
      <c r="Q20" s="6"/>
      <c r="R20" s="26"/>
      <c r="S20" s="22"/>
      <c r="T20" s="6"/>
      <c r="U20" s="42"/>
      <c r="V20" s="6"/>
      <c r="W20" s="6"/>
      <c r="X20" s="4"/>
    </row>
    <row r="21" spans="2:24">
      <c r="B21" s="4"/>
      <c r="C21" s="65"/>
      <c r="D21" s="65"/>
      <c r="E21" s="65"/>
      <c r="F21" s="65"/>
      <c r="G21" s="65"/>
      <c r="H21" s="65"/>
      <c r="I21" s="4"/>
      <c r="K21" s="4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4"/>
    </row>
    <row r="22" spans="2:24">
      <c r="B22" s="4"/>
      <c r="C22" s="4"/>
      <c r="D22" s="4"/>
      <c r="E22" s="4"/>
      <c r="F22" s="5"/>
      <c r="G22" s="4"/>
      <c r="H22" s="4"/>
      <c r="I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</sheetData>
  <sheetProtection algorithmName="SHA-512" hashValue="TX2jUcSG/h5O8c1TcdAlSKU1tpLfU5oLLn4Kl3lfdZKAwu0SpeftzgoVbC+j+bbjVT/KDvfx3E1ZcdfhgDPSWA==" saltValue="cGhQQAADmvuYYI9Fvan5dQ==" spinCount="100000" sheet="1" objects="1" scenarios="1"/>
  <protectedRanges>
    <protectedRange sqref="O6:P20" name="Range1"/>
    <protectedRange sqref="R6:S20" name="Range2"/>
    <protectedRange sqref="U6:V20" name="Range3"/>
  </protectedRanges>
  <mergeCells count="11">
    <mergeCell ref="O4:Q4"/>
    <mergeCell ref="R4:T4"/>
    <mergeCell ref="U4:W4"/>
    <mergeCell ref="C4:C5"/>
    <mergeCell ref="D4:D5"/>
    <mergeCell ref="E4:E5"/>
    <mergeCell ref="F4:F5"/>
    <mergeCell ref="G4:G5"/>
    <mergeCell ref="H4:H5"/>
    <mergeCell ref="L4:L5"/>
    <mergeCell ref="M4:N4"/>
  </mergeCells>
  <conditionalFormatting sqref="O6:P20 R6:S20 U6:V20">
    <cfRule type="containsBlanks" dxfId="147" priority="1">
      <formula>LEN(TRIM(O6))=0</formula>
    </cfRule>
  </conditionalFormatting>
  <hyperlinks>
    <hyperlink ref="G6" r:id="rId1" xr:uid="{EC202C32-98EC-4094-8B5A-52026AF45FFB}"/>
    <hyperlink ref="G9" r:id="rId2" xr:uid="{CB51E78A-6535-4EA3-940E-944907F540B5}"/>
    <hyperlink ref="G10" r:id="rId3" xr:uid="{16385F19-4A1B-462E-B46D-C79999C3674D}"/>
    <hyperlink ref="G11" r:id="rId4" xr:uid="{B7DB8D73-028E-4B8D-9C95-045CA2DA476E}"/>
    <hyperlink ref="G7" r:id="rId5" xr:uid="{1FD107E2-D488-404F-AE7A-813B7185FA40}"/>
    <hyperlink ref="G8" r:id="rId6" xr:uid="{841E722F-11F2-42B9-A8D8-6CAC6FE0C18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T55"/>
  <sheetViews>
    <sheetView tabSelected="1" topLeftCell="A2" workbookViewId="0">
      <pane xSplit="3" topLeftCell="AI1" activePane="topRight" state="frozen"/>
      <selection pane="topRight" activeCell="AX8" sqref="AX8"/>
      <selection activeCell="A2" sqref="A2"/>
    </sheetView>
  </sheetViews>
  <sheetFormatPr defaultColWidth="9.140625" defaultRowHeight="15"/>
  <cols>
    <col min="1" max="1" width="2.42578125" style="50" customWidth="1"/>
    <col min="2" max="2" width="3.5703125" style="50" customWidth="1"/>
    <col min="3" max="3" width="24.85546875" style="50" bestFit="1" customWidth="1"/>
    <col min="4" max="4" width="16.28515625" style="50" bestFit="1" customWidth="1"/>
    <col min="5" max="5" width="39.28515625" style="50" bestFit="1" customWidth="1"/>
    <col min="6" max="6" width="3.85546875" style="50" customWidth="1"/>
    <col min="7" max="37" width="10.28515625" style="50" customWidth="1"/>
    <col min="38" max="38" width="3.5703125" style="50" customWidth="1"/>
    <col min="39" max="39" width="9.140625" style="50" customWidth="1"/>
    <col min="40" max="40" width="4.5703125" style="50" customWidth="1"/>
    <col min="41" max="73" width="9.140625" style="50" customWidth="1"/>
    <col min="74" max="16384" width="9.140625" style="50"/>
  </cols>
  <sheetData>
    <row r="2" spans="2:72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</row>
    <row r="3" spans="2:72" ht="21" customHeight="1">
      <c r="B3" s="4"/>
      <c r="C3" s="92">
        <f>G6</f>
        <v>46266</v>
      </c>
      <c r="D3" s="93" t="s">
        <v>38</v>
      </c>
      <c r="E3" s="70">
        <v>2026</v>
      </c>
      <c r="F3" s="5"/>
      <c r="G3" s="53" t="s">
        <v>39</v>
      </c>
      <c r="H3" s="53" t="s">
        <v>40</v>
      </c>
      <c r="I3" s="4"/>
      <c r="J3" s="4"/>
      <c r="K3" s="54" t="s">
        <v>41</v>
      </c>
      <c r="L3" s="54" t="s">
        <v>42</v>
      </c>
      <c r="M3" s="4"/>
      <c r="N3" s="4"/>
      <c r="O3" s="57" t="s">
        <v>43</v>
      </c>
      <c r="P3" s="57" t="s">
        <v>44</v>
      </c>
      <c r="Q3" s="4"/>
      <c r="R3" s="4"/>
      <c r="S3" s="74" t="s">
        <v>45</v>
      </c>
      <c r="T3" s="74"/>
      <c r="U3" s="74" t="s">
        <v>46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75"/>
      <c r="AN3" s="5"/>
      <c r="AO3" s="92">
        <f>AO6</f>
        <v>46296</v>
      </c>
      <c r="AP3" s="92"/>
      <c r="AQ3" s="92"/>
      <c r="AR3" s="70">
        <v>2026</v>
      </c>
      <c r="AS3" s="4"/>
      <c r="AT3" s="53" t="s">
        <v>39</v>
      </c>
      <c r="AU3" s="53" t="s">
        <v>40</v>
      </c>
      <c r="AV3" s="4"/>
      <c r="AW3" s="4"/>
      <c r="AX3" s="54" t="s">
        <v>41</v>
      </c>
      <c r="AY3" s="54" t="s">
        <v>42</v>
      </c>
      <c r="AZ3" s="4"/>
      <c r="BA3" s="4"/>
      <c r="BB3" s="57" t="s">
        <v>43</v>
      </c>
      <c r="BC3" s="57" t="s">
        <v>44</v>
      </c>
      <c r="BD3" s="4"/>
      <c r="BE3" s="4"/>
      <c r="BF3" s="74" t="s">
        <v>45</v>
      </c>
      <c r="BG3" s="74"/>
      <c r="BH3" s="74" t="s">
        <v>46</v>
      </c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</row>
    <row r="4" spans="2:72" ht="20.25" customHeight="1">
      <c r="B4" s="4"/>
      <c r="C4" s="92"/>
      <c r="D4" s="93"/>
      <c r="E4" s="70">
        <v>9</v>
      </c>
      <c r="F4" s="5"/>
      <c r="G4" s="4"/>
      <c r="H4" s="56" t="s">
        <v>47</v>
      </c>
      <c r="I4" s="56" t="s">
        <v>48</v>
      </c>
      <c r="J4" s="4"/>
      <c r="K4" s="4"/>
      <c r="L4" s="55" t="s">
        <v>49</v>
      </c>
      <c r="M4" s="55" t="s">
        <v>50</v>
      </c>
      <c r="N4" s="4"/>
      <c r="O4" s="4"/>
      <c r="P4" s="58" t="s">
        <v>51</v>
      </c>
      <c r="Q4" s="58" t="s">
        <v>52</v>
      </c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75"/>
      <c r="AN4" s="5"/>
      <c r="AO4" s="92"/>
      <c r="AP4" s="92"/>
      <c r="AQ4" s="92"/>
      <c r="AR4" s="70">
        <v>10</v>
      </c>
      <c r="AS4" s="4"/>
      <c r="AT4" s="4"/>
      <c r="AU4" s="56" t="s">
        <v>47</v>
      </c>
      <c r="AV4" s="56" t="s">
        <v>48</v>
      </c>
      <c r="AW4" s="4"/>
      <c r="AX4" s="4"/>
      <c r="AY4" s="55" t="s">
        <v>49</v>
      </c>
      <c r="AZ4" s="55" t="s">
        <v>50</v>
      </c>
      <c r="BA4" s="4"/>
      <c r="BB4" s="4"/>
      <c r="BC4" s="58" t="s">
        <v>51</v>
      </c>
      <c r="BD4" s="58" t="s">
        <v>52</v>
      </c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</row>
    <row r="5" spans="2:72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75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</row>
    <row r="6" spans="2:72" ht="23.25">
      <c r="B6" s="4"/>
      <c r="C6" s="91" t="s">
        <v>0</v>
      </c>
      <c r="D6" s="91" t="s">
        <v>1</v>
      </c>
      <c r="E6" s="91" t="s">
        <v>2</v>
      </c>
      <c r="F6" s="88"/>
      <c r="G6" s="51">
        <f>DATE(E3,E4,1)</f>
        <v>46266</v>
      </c>
      <c r="H6" s="51">
        <f>IF(MONTH(G6+1)=$E$4,G6+1)</f>
        <v>46267</v>
      </c>
      <c r="I6" s="51">
        <f t="shared" ref="I6:AJ6" si="0">IF(MONTH(H6+1)=$E$4,H6+1)</f>
        <v>46268</v>
      </c>
      <c r="J6" s="51">
        <f t="shared" si="0"/>
        <v>46269</v>
      </c>
      <c r="K6" s="51">
        <f t="shared" si="0"/>
        <v>46270</v>
      </c>
      <c r="L6" s="51">
        <f t="shared" si="0"/>
        <v>46271</v>
      </c>
      <c r="M6" s="51">
        <f t="shared" si="0"/>
        <v>46272</v>
      </c>
      <c r="N6" s="51">
        <f t="shared" si="0"/>
        <v>46273</v>
      </c>
      <c r="O6" s="51">
        <f t="shared" si="0"/>
        <v>46274</v>
      </c>
      <c r="P6" s="51">
        <f t="shared" si="0"/>
        <v>46275</v>
      </c>
      <c r="Q6" s="51">
        <f t="shared" si="0"/>
        <v>46276</v>
      </c>
      <c r="R6" s="51">
        <f t="shared" si="0"/>
        <v>46277</v>
      </c>
      <c r="S6" s="51">
        <f t="shared" si="0"/>
        <v>46278</v>
      </c>
      <c r="T6" s="51">
        <f t="shared" si="0"/>
        <v>46279</v>
      </c>
      <c r="U6" s="51">
        <f t="shared" si="0"/>
        <v>46280</v>
      </c>
      <c r="V6" s="51">
        <f t="shared" si="0"/>
        <v>46281</v>
      </c>
      <c r="W6" s="51">
        <f t="shared" si="0"/>
        <v>46282</v>
      </c>
      <c r="X6" s="51">
        <f t="shared" si="0"/>
        <v>46283</v>
      </c>
      <c r="Y6" s="51">
        <f t="shared" si="0"/>
        <v>46284</v>
      </c>
      <c r="Z6" s="51">
        <f t="shared" si="0"/>
        <v>46285</v>
      </c>
      <c r="AA6" s="51">
        <f t="shared" si="0"/>
        <v>46286</v>
      </c>
      <c r="AB6" s="51">
        <f t="shared" si="0"/>
        <v>46287</v>
      </c>
      <c r="AC6" s="51">
        <f t="shared" si="0"/>
        <v>46288</v>
      </c>
      <c r="AD6" s="51">
        <f t="shared" si="0"/>
        <v>46289</v>
      </c>
      <c r="AE6" s="51">
        <f t="shared" si="0"/>
        <v>46290</v>
      </c>
      <c r="AF6" s="51">
        <f t="shared" si="0"/>
        <v>46291</v>
      </c>
      <c r="AG6" s="51">
        <f t="shared" si="0"/>
        <v>46292</v>
      </c>
      <c r="AH6" s="51">
        <f t="shared" si="0"/>
        <v>46293</v>
      </c>
      <c r="AI6" s="51">
        <f t="shared" si="0"/>
        <v>46294</v>
      </c>
      <c r="AJ6" s="51">
        <f t="shared" si="0"/>
        <v>46295</v>
      </c>
      <c r="AK6" s="51" t="b">
        <f>IF(MONTH(AJ6+1)=$E$4,AJ6+1)</f>
        <v>0</v>
      </c>
      <c r="AL6" s="59"/>
      <c r="AM6" s="76"/>
      <c r="AN6" s="88"/>
      <c r="AO6" s="51">
        <f>DATE(AR3,AR4,1)</f>
        <v>46296</v>
      </c>
      <c r="AP6" s="51">
        <f>IF(MONTH(AO6+1)=$AR$4,AO6+1)</f>
        <v>46297</v>
      </c>
      <c r="AQ6" s="51">
        <f t="shared" ref="AQ6:BS6" si="1">IF(MONTH(AP6+1)=$AR$4,AP6+1)</f>
        <v>46298</v>
      </c>
      <c r="AR6" s="51">
        <f t="shared" si="1"/>
        <v>46299</v>
      </c>
      <c r="AS6" s="51">
        <f t="shared" si="1"/>
        <v>46300</v>
      </c>
      <c r="AT6" s="51">
        <f t="shared" si="1"/>
        <v>46301</v>
      </c>
      <c r="AU6" s="51">
        <f t="shared" si="1"/>
        <v>46302</v>
      </c>
      <c r="AV6" s="51">
        <f t="shared" si="1"/>
        <v>46303</v>
      </c>
      <c r="AW6" s="51">
        <f t="shared" si="1"/>
        <v>46304</v>
      </c>
      <c r="AX6" s="51">
        <f t="shared" si="1"/>
        <v>46305</v>
      </c>
      <c r="AY6" s="51">
        <f t="shared" si="1"/>
        <v>46306</v>
      </c>
      <c r="AZ6" s="51">
        <f t="shared" si="1"/>
        <v>46307</v>
      </c>
      <c r="BA6" s="51">
        <f t="shared" si="1"/>
        <v>46308</v>
      </c>
      <c r="BB6" s="51">
        <f t="shared" si="1"/>
        <v>46309</v>
      </c>
      <c r="BC6" s="51">
        <f t="shared" si="1"/>
        <v>46310</v>
      </c>
      <c r="BD6" s="51">
        <f t="shared" si="1"/>
        <v>46311</v>
      </c>
      <c r="BE6" s="51">
        <f t="shared" si="1"/>
        <v>46312</v>
      </c>
      <c r="BF6" s="51">
        <f t="shared" si="1"/>
        <v>46313</v>
      </c>
      <c r="BG6" s="51">
        <f t="shared" si="1"/>
        <v>46314</v>
      </c>
      <c r="BH6" s="51">
        <f t="shared" si="1"/>
        <v>46315</v>
      </c>
      <c r="BI6" s="51">
        <f t="shared" si="1"/>
        <v>46316</v>
      </c>
      <c r="BJ6" s="51">
        <f t="shared" si="1"/>
        <v>46317</v>
      </c>
      <c r="BK6" s="51">
        <f t="shared" si="1"/>
        <v>46318</v>
      </c>
      <c r="BL6" s="51">
        <f t="shared" si="1"/>
        <v>46319</v>
      </c>
      <c r="BM6" s="51">
        <f t="shared" si="1"/>
        <v>46320</v>
      </c>
      <c r="BN6" s="51">
        <f t="shared" si="1"/>
        <v>46321</v>
      </c>
      <c r="BO6" s="51">
        <f t="shared" si="1"/>
        <v>46322</v>
      </c>
      <c r="BP6" s="51">
        <f t="shared" si="1"/>
        <v>46323</v>
      </c>
      <c r="BQ6" s="51">
        <f t="shared" si="1"/>
        <v>46324</v>
      </c>
      <c r="BR6" s="51">
        <f t="shared" si="1"/>
        <v>46325</v>
      </c>
      <c r="BS6" s="51">
        <f t="shared" si="1"/>
        <v>46326</v>
      </c>
      <c r="BT6" s="59"/>
    </row>
    <row r="7" spans="2:72" ht="23.25">
      <c r="B7" s="4"/>
      <c r="C7" s="91"/>
      <c r="D7" s="91"/>
      <c r="E7" s="91"/>
      <c r="F7" s="88"/>
      <c r="G7" s="52" t="str">
        <f>TEXT(G6,"[$-us]dddd")</f>
        <v>Tuesday</v>
      </c>
      <c r="H7" s="52" t="str">
        <f t="shared" ref="H7:AK7" si="2">TEXT(H6,"[$-us]dddd")</f>
        <v>Wednesday</v>
      </c>
      <c r="I7" s="52" t="str">
        <f t="shared" si="2"/>
        <v>Thursday</v>
      </c>
      <c r="J7" s="52" t="str">
        <f t="shared" si="2"/>
        <v>Friday</v>
      </c>
      <c r="K7" s="52" t="str">
        <f t="shared" si="2"/>
        <v>Saturday</v>
      </c>
      <c r="L7" s="52" t="str">
        <f t="shared" si="2"/>
        <v>Sunday</v>
      </c>
      <c r="M7" s="52" t="str">
        <f t="shared" si="2"/>
        <v>Monday</v>
      </c>
      <c r="N7" s="52" t="str">
        <f t="shared" si="2"/>
        <v>Tuesday</v>
      </c>
      <c r="O7" s="52" t="str">
        <f t="shared" si="2"/>
        <v>Wednesday</v>
      </c>
      <c r="P7" s="52" t="str">
        <f t="shared" si="2"/>
        <v>Thursday</v>
      </c>
      <c r="Q7" s="52" t="str">
        <f t="shared" si="2"/>
        <v>Friday</v>
      </c>
      <c r="R7" s="52" t="str">
        <f t="shared" si="2"/>
        <v>Saturday</v>
      </c>
      <c r="S7" s="52" t="str">
        <f t="shared" si="2"/>
        <v>Sunday</v>
      </c>
      <c r="T7" s="52" t="str">
        <f t="shared" si="2"/>
        <v>Monday</v>
      </c>
      <c r="U7" s="52" t="str">
        <f t="shared" si="2"/>
        <v>Tuesday</v>
      </c>
      <c r="V7" s="52" t="str">
        <f t="shared" si="2"/>
        <v>Wednesday</v>
      </c>
      <c r="W7" s="52" t="str">
        <f t="shared" si="2"/>
        <v>Thursday</v>
      </c>
      <c r="X7" s="52" t="str">
        <f t="shared" si="2"/>
        <v>Friday</v>
      </c>
      <c r="Y7" s="52" t="str">
        <f t="shared" si="2"/>
        <v>Saturday</v>
      </c>
      <c r="Z7" s="52" t="str">
        <f t="shared" si="2"/>
        <v>Sunday</v>
      </c>
      <c r="AA7" s="52" t="str">
        <f t="shared" si="2"/>
        <v>Monday</v>
      </c>
      <c r="AB7" s="52" t="str">
        <f t="shared" si="2"/>
        <v>Tuesday</v>
      </c>
      <c r="AC7" s="52" t="str">
        <f t="shared" si="2"/>
        <v>Wednesday</v>
      </c>
      <c r="AD7" s="52" t="str">
        <f t="shared" si="2"/>
        <v>Thursday</v>
      </c>
      <c r="AE7" s="52" t="str">
        <f t="shared" si="2"/>
        <v>Friday</v>
      </c>
      <c r="AF7" s="52" t="str">
        <f t="shared" si="2"/>
        <v>Saturday</v>
      </c>
      <c r="AG7" s="52" t="str">
        <f t="shared" si="2"/>
        <v>Sunday</v>
      </c>
      <c r="AH7" s="52" t="str">
        <f t="shared" si="2"/>
        <v>Monday</v>
      </c>
      <c r="AI7" s="52" t="str">
        <f t="shared" si="2"/>
        <v>Tuesday</v>
      </c>
      <c r="AJ7" s="52" t="str">
        <f t="shared" si="2"/>
        <v>Wednesday</v>
      </c>
      <c r="AK7" s="52" t="str">
        <f t="shared" si="2"/>
        <v>FALSE</v>
      </c>
      <c r="AL7" s="4"/>
      <c r="AM7" s="75"/>
      <c r="AN7" s="88"/>
      <c r="AO7" s="52" t="str">
        <f>TEXT(AO6,"[$-us]dddd")</f>
        <v>Kamis</v>
      </c>
      <c r="AP7" s="52" t="str">
        <f t="shared" ref="AP7:BS7" si="3">TEXT(AP6,"[$-us]dddd")</f>
        <v>Jumat</v>
      </c>
      <c r="AQ7" s="52" t="str">
        <f t="shared" si="3"/>
        <v>Sabtu</v>
      </c>
      <c r="AR7" s="52" t="str">
        <f t="shared" si="3"/>
        <v>Minggu</v>
      </c>
      <c r="AS7" s="52" t="str">
        <f t="shared" si="3"/>
        <v>Senin</v>
      </c>
      <c r="AT7" s="52" t="str">
        <f t="shared" si="3"/>
        <v>Selasa</v>
      </c>
      <c r="AU7" s="52" t="str">
        <f t="shared" si="3"/>
        <v>Rabu</v>
      </c>
      <c r="AV7" s="52" t="str">
        <f t="shared" si="3"/>
        <v>Kamis</v>
      </c>
      <c r="AW7" s="52" t="str">
        <f t="shared" si="3"/>
        <v>Jumat</v>
      </c>
      <c r="AX7" s="52" t="str">
        <f t="shared" si="3"/>
        <v>Sabtu</v>
      </c>
      <c r="AY7" s="52" t="str">
        <f t="shared" si="3"/>
        <v>Minggu</v>
      </c>
      <c r="AZ7" s="52" t="str">
        <f t="shared" si="3"/>
        <v>Senin</v>
      </c>
      <c r="BA7" s="52" t="str">
        <f t="shared" si="3"/>
        <v>Selasa</v>
      </c>
      <c r="BB7" s="52" t="str">
        <f t="shared" si="3"/>
        <v>Rabu</v>
      </c>
      <c r="BC7" s="52" t="str">
        <f t="shared" si="3"/>
        <v>Kamis</v>
      </c>
      <c r="BD7" s="52" t="str">
        <f t="shared" si="3"/>
        <v>Jumat</v>
      </c>
      <c r="BE7" s="52" t="str">
        <f t="shared" si="3"/>
        <v>Sabtu</v>
      </c>
      <c r="BF7" s="52" t="str">
        <f t="shared" si="3"/>
        <v>Minggu</v>
      </c>
      <c r="BG7" s="52" t="str">
        <f t="shared" si="3"/>
        <v>Senin</v>
      </c>
      <c r="BH7" s="52" t="str">
        <f t="shared" si="3"/>
        <v>Selasa</v>
      </c>
      <c r="BI7" s="52" t="str">
        <f t="shared" si="3"/>
        <v>Rabu</v>
      </c>
      <c r="BJ7" s="52" t="str">
        <f t="shared" si="3"/>
        <v>Kamis</v>
      </c>
      <c r="BK7" s="52" t="str">
        <f t="shared" si="3"/>
        <v>Jumat</v>
      </c>
      <c r="BL7" s="52" t="str">
        <f t="shared" si="3"/>
        <v>Sabtu</v>
      </c>
      <c r="BM7" s="52" t="str">
        <f t="shared" si="3"/>
        <v>Minggu</v>
      </c>
      <c r="BN7" s="52" t="str">
        <f t="shared" si="3"/>
        <v>Senin</v>
      </c>
      <c r="BO7" s="52" t="str">
        <f t="shared" si="3"/>
        <v>Selasa</v>
      </c>
      <c r="BP7" s="52" t="str">
        <f t="shared" si="3"/>
        <v>Rabu</v>
      </c>
      <c r="BQ7" s="52" t="str">
        <f t="shared" si="3"/>
        <v>Kamis</v>
      </c>
      <c r="BR7" s="52" t="str">
        <f t="shared" si="3"/>
        <v>Jumat</v>
      </c>
      <c r="BS7" s="52" t="str">
        <f t="shared" si="3"/>
        <v>Sabtu</v>
      </c>
      <c r="BT7" s="4"/>
    </row>
    <row r="8" spans="2:72">
      <c r="B8" s="4"/>
      <c r="C8" s="65" t="str" cm="1">
        <f t="array" ref="C8:E20">IF(IFERROR('MASTER MPP M268'!C6:E18, "")=0, "", IFERROR('MASTER MPP M268'!C6:E18, ""))</f>
        <v>Rahman Ibrahim</v>
      </c>
      <c r="D8" s="3">
        <v>25013156</v>
      </c>
      <c r="E8" s="3" t="str">
        <v>Store Supervisor</v>
      </c>
      <c r="F8" s="5"/>
      <c r="G8" s="69" t="s">
        <v>52</v>
      </c>
      <c r="H8" s="69" t="s">
        <v>44</v>
      </c>
      <c r="I8" s="69" t="s">
        <v>42</v>
      </c>
      <c r="J8" s="69" t="s">
        <v>40</v>
      </c>
      <c r="K8" s="69" t="s">
        <v>48</v>
      </c>
      <c r="L8" s="69" t="s">
        <v>48</v>
      </c>
      <c r="M8" s="69" t="s">
        <v>48</v>
      </c>
      <c r="N8" s="69" t="s">
        <v>42</v>
      </c>
      <c r="O8" s="69" t="s">
        <v>40</v>
      </c>
      <c r="P8" s="69" t="s">
        <v>44</v>
      </c>
      <c r="Q8" s="69" t="s">
        <v>40</v>
      </c>
      <c r="R8" s="69" t="s">
        <v>48</v>
      </c>
      <c r="S8" s="69" t="s">
        <v>48</v>
      </c>
      <c r="T8" s="69" t="s">
        <v>48</v>
      </c>
      <c r="U8" s="69" t="s">
        <v>42</v>
      </c>
      <c r="V8" s="69" t="s">
        <v>40</v>
      </c>
      <c r="W8" s="69" t="s">
        <v>44</v>
      </c>
      <c r="X8" s="69" t="s">
        <v>42</v>
      </c>
      <c r="Y8" s="69" t="s">
        <v>48</v>
      </c>
      <c r="Z8" s="69" t="s">
        <v>48</v>
      </c>
      <c r="AA8" s="69" t="s">
        <v>48</v>
      </c>
      <c r="AB8" s="69" t="s">
        <v>42</v>
      </c>
      <c r="AC8" s="69" t="s">
        <v>40</v>
      </c>
      <c r="AD8" s="69" t="s">
        <v>44</v>
      </c>
      <c r="AE8" s="69" t="s">
        <v>42</v>
      </c>
      <c r="AF8" s="69" t="s">
        <v>40</v>
      </c>
      <c r="AG8" s="69" t="s">
        <v>48</v>
      </c>
      <c r="AH8" s="69" t="s">
        <v>48</v>
      </c>
      <c r="AI8" s="69" t="s">
        <v>42</v>
      </c>
      <c r="AJ8" s="69" t="s">
        <v>40</v>
      </c>
      <c r="AK8" s="69"/>
      <c r="AL8" s="4"/>
      <c r="AM8" s="75"/>
      <c r="AN8" s="5"/>
      <c r="AO8" s="69" t="s">
        <v>44</v>
      </c>
      <c r="AP8" s="69" t="s">
        <v>50</v>
      </c>
      <c r="AQ8" s="69" t="s">
        <v>48</v>
      </c>
      <c r="AR8" s="69" t="s">
        <v>48</v>
      </c>
      <c r="AS8" s="69" t="s">
        <v>48</v>
      </c>
      <c r="AT8" s="69" t="s">
        <v>42</v>
      </c>
      <c r="AU8" s="69" t="s">
        <v>40</v>
      </c>
      <c r="AV8" s="69" t="s">
        <v>44</v>
      </c>
      <c r="AW8" s="69" t="s">
        <v>42</v>
      </c>
      <c r="AX8" s="69" t="s">
        <v>50</v>
      </c>
      <c r="AY8" s="69" t="s">
        <v>48</v>
      </c>
      <c r="AZ8" s="69" t="s">
        <v>48</v>
      </c>
      <c r="BA8" s="69" t="s">
        <v>42</v>
      </c>
      <c r="BB8" s="69" t="s">
        <v>40</v>
      </c>
      <c r="BC8" s="69" t="s">
        <v>44</v>
      </c>
      <c r="BD8" s="69" t="s">
        <v>42</v>
      </c>
      <c r="BE8" s="69" t="s">
        <v>48</v>
      </c>
      <c r="BF8" s="69" t="s">
        <v>48</v>
      </c>
      <c r="BG8" s="69" t="s">
        <v>48</v>
      </c>
      <c r="BH8" s="69" t="s">
        <v>42</v>
      </c>
      <c r="BI8" s="69" t="s">
        <v>40</v>
      </c>
      <c r="BJ8" s="69" t="s">
        <v>44</v>
      </c>
      <c r="BK8" s="69" t="s">
        <v>42</v>
      </c>
      <c r="BL8" s="69" t="s">
        <v>48</v>
      </c>
      <c r="BM8" s="69" t="s">
        <v>48</v>
      </c>
      <c r="BN8" s="69" t="s">
        <v>48</v>
      </c>
      <c r="BO8" s="69" t="s">
        <v>42</v>
      </c>
      <c r="BP8" s="69" t="s">
        <v>40</v>
      </c>
      <c r="BQ8" s="69" t="s">
        <v>44</v>
      </c>
      <c r="BR8" s="69" t="s">
        <v>42</v>
      </c>
      <c r="BS8" s="69" t="s">
        <v>48</v>
      </c>
      <c r="BT8" s="4"/>
    </row>
    <row r="9" spans="2:72">
      <c r="B9" s="4"/>
      <c r="C9" s="65" t="str">
        <v>Virgina Bella Hattu</v>
      </c>
      <c r="D9" s="3">
        <v>25013174</v>
      </c>
      <c r="E9" s="3" t="str">
        <v>Cashier</v>
      </c>
      <c r="F9" s="5"/>
      <c r="G9" s="69" t="s">
        <v>40</v>
      </c>
      <c r="H9" s="69" t="s">
        <v>42</v>
      </c>
      <c r="I9" s="69" t="s">
        <v>40</v>
      </c>
      <c r="J9" s="69" t="s">
        <v>44</v>
      </c>
      <c r="K9" s="69" t="s">
        <v>42</v>
      </c>
      <c r="L9" s="69" t="s">
        <v>40</v>
      </c>
      <c r="M9" s="69" t="s">
        <v>42</v>
      </c>
      <c r="N9" s="69" t="s">
        <v>40</v>
      </c>
      <c r="O9" s="69" t="s">
        <v>44</v>
      </c>
      <c r="P9" s="69" t="s">
        <v>42</v>
      </c>
      <c r="Q9" s="69" t="s">
        <v>40</v>
      </c>
      <c r="R9" s="69" t="s">
        <v>42</v>
      </c>
      <c r="S9" s="69" t="s">
        <v>40</v>
      </c>
      <c r="T9" s="69" t="s">
        <v>42</v>
      </c>
      <c r="U9" s="69" t="s">
        <v>40</v>
      </c>
      <c r="V9" s="69" t="s">
        <v>44</v>
      </c>
      <c r="W9" s="69" t="s">
        <v>42</v>
      </c>
      <c r="X9" s="69" t="s">
        <v>40</v>
      </c>
      <c r="Y9" s="69" t="s">
        <v>42</v>
      </c>
      <c r="Z9" s="69" t="s">
        <v>40</v>
      </c>
      <c r="AA9" s="69" t="s">
        <v>42</v>
      </c>
      <c r="AB9" s="69" t="s">
        <v>40</v>
      </c>
      <c r="AC9" s="69" t="s">
        <v>42</v>
      </c>
      <c r="AD9" s="69" t="s">
        <v>40</v>
      </c>
      <c r="AE9" s="69" t="s">
        <v>44</v>
      </c>
      <c r="AF9" s="69" t="s">
        <v>42</v>
      </c>
      <c r="AG9" s="69" t="s">
        <v>40</v>
      </c>
      <c r="AH9" s="69" t="s">
        <v>42</v>
      </c>
      <c r="AI9" s="69" t="s">
        <v>40</v>
      </c>
      <c r="AJ9" s="69" t="s">
        <v>44</v>
      </c>
      <c r="AK9" s="69"/>
      <c r="AL9" s="4"/>
      <c r="AM9" s="75"/>
      <c r="AN9" s="5"/>
      <c r="AO9" s="69" t="s">
        <v>42</v>
      </c>
      <c r="AP9" s="69" t="s">
        <v>40</v>
      </c>
      <c r="AQ9" s="69" t="s">
        <v>42</v>
      </c>
      <c r="AR9" s="69" t="s">
        <v>40</v>
      </c>
      <c r="AS9" s="69" t="s">
        <v>42</v>
      </c>
      <c r="AT9" s="69" t="s">
        <v>40</v>
      </c>
      <c r="AU9" s="69" t="s">
        <v>44</v>
      </c>
      <c r="AV9" s="69" t="s">
        <v>42</v>
      </c>
      <c r="AW9" s="69" t="s">
        <v>40</v>
      </c>
      <c r="AX9" s="69" t="s">
        <v>42</v>
      </c>
      <c r="AY9" s="69" t="s">
        <v>40</v>
      </c>
      <c r="AZ9" s="69" t="s">
        <v>42</v>
      </c>
      <c r="BA9" s="69" t="s">
        <v>40</v>
      </c>
      <c r="BB9" s="69" t="s">
        <v>44</v>
      </c>
      <c r="BC9" s="69" t="s">
        <v>42</v>
      </c>
      <c r="BD9" s="69" t="s">
        <v>40</v>
      </c>
      <c r="BE9" s="69" t="s">
        <v>42</v>
      </c>
      <c r="BF9" s="69" t="s">
        <v>40</v>
      </c>
      <c r="BG9" s="69" t="s">
        <v>42</v>
      </c>
      <c r="BH9" s="69" t="s">
        <v>40</v>
      </c>
      <c r="BI9" s="69" t="s">
        <v>44</v>
      </c>
      <c r="BJ9" s="69" t="s">
        <v>42</v>
      </c>
      <c r="BK9" s="69" t="s">
        <v>40</v>
      </c>
      <c r="BL9" s="69" t="s">
        <v>42</v>
      </c>
      <c r="BM9" s="69" t="s">
        <v>40</v>
      </c>
      <c r="BN9" s="69" t="s">
        <v>42</v>
      </c>
      <c r="BO9" s="69" t="s">
        <v>40</v>
      </c>
      <c r="BP9" s="69" t="s">
        <v>44</v>
      </c>
      <c r="BQ9" s="69" t="s">
        <v>52</v>
      </c>
      <c r="BR9" s="69" t="s">
        <v>52</v>
      </c>
      <c r="BS9" s="69" t="s">
        <v>52</v>
      </c>
      <c r="BT9" s="4"/>
    </row>
    <row r="10" spans="2:72">
      <c r="B10" s="4"/>
      <c r="C10" s="65" t="str">
        <v>Daniela Karin Mansawan</v>
      </c>
      <c r="D10" s="3">
        <v>25013173</v>
      </c>
      <c r="E10" s="3" t="str">
        <v>Store Trainer</v>
      </c>
      <c r="F10" s="5"/>
      <c r="G10" s="69" t="s">
        <v>42</v>
      </c>
      <c r="H10" s="69" t="s">
        <v>40</v>
      </c>
      <c r="I10" s="69" t="s">
        <v>44</v>
      </c>
      <c r="J10" s="69" t="s">
        <v>42</v>
      </c>
      <c r="K10" s="69" t="s">
        <v>40</v>
      </c>
      <c r="L10" s="69" t="s">
        <v>42</v>
      </c>
      <c r="M10" s="69" t="s">
        <v>40</v>
      </c>
      <c r="N10" s="69" t="s">
        <v>44</v>
      </c>
      <c r="O10" s="69" t="s">
        <v>42</v>
      </c>
      <c r="P10" s="69" t="s">
        <v>40</v>
      </c>
      <c r="Q10" s="69" t="s">
        <v>42</v>
      </c>
      <c r="R10" s="69" t="s">
        <v>40</v>
      </c>
      <c r="S10" s="69" t="s">
        <v>42</v>
      </c>
      <c r="T10" s="69" t="s">
        <v>40</v>
      </c>
      <c r="U10" s="69" t="s">
        <v>44</v>
      </c>
      <c r="V10" s="69" t="s">
        <v>42</v>
      </c>
      <c r="W10" s="69" t="s">
        <v>40</v>
      </c>
      <c r="X10" s="69" t="s">
        <v>42</v>
      </c>
      <c r="Y10" s="69" t="s">
        <v>40</v>
      </c>
      <c r="Z10" s="69" t="s">
        <v>42</v>
      </c>
      <c r="AA10" s="69" t="s">
        <v>40</v>
      </c>
      <c r="AB10" s="69" t="s">
        <v>44</v>
      </c>
      <c r="AC10" s="69" t="s">
        <v>42</v>
      </c>
      <c r="AD10" s="69" t="s">
        <v>42</v>
      </c>
      <c r="AE10" s="69" t="s">
        <v>40</v>
      </c>
      <c r="AF10" s="69" t="s">
        <v>48</v>
      </c>
      <c r="AG10" s="69" t="s">
        <v>42</v>
      </c>
      <c r="AH10" s="69" t="s">
        <v>40</v>
      </c>
      <c r="AI10" s="69" t="s">
        <v>44</v>
      </c>
      <c r="AJ10" s="69" t="s">
        <v>42</v>
      </c>
      <c r="AK10" s="69"/>
      <c r="AL10" s="4"/>
      <c r="AM10" s="75"/>
      <c r="AN10" s="5"/>
      <c r="AO10" s="69" t="s">
        <v>40</v>
      </c>
      <c r="AP10" s="69" t="s">
        <v>42</v>
      </c>
      <c r="AQ10" s="69" t="s">
        <v>40</v>
      </c>
      <c r="AR10" s="69" t="s">
        <v>42</v>
      </c>
      <c r="AS10" s="69" t="s">
        <v>40</v>
      </c>
      <c r="AT10" s="69" t="s">
        <v>44</v>
      </c>
      <c r="AU10" s="69" t="s">
        <v>42</v>
      </c>
      <c r="AV10" s="69" t="s">
        <v>40</v>
      </c>
      <c r="AW10" s="69" t="s">
        <v>42</v>
      </c>
      <c r="AX10" s="69" t="s">
        <v>40</v>
      </c>
      <c r="AY10" s="69" t="s">
        <v>42</v>
      </c>
      <c r="AZ10" s="69" t="s">
        <v>40</v>
      </c>
      <c r="BA10" s="69" t="s">
        <v>44</v>
      </c>
      <c r="BB10" s="69" t="s">
        <v>42</v>
      </c>
      <c r="BC10" s="69" t="s">
        <v>40</v>
      </c>
      <c r="BD10" s="69" t="s">
        <v>42</v>
      </c>
      <c r="BE10" s="69" t="s">
        <v>40</v>
      </c>
      <c r="BF10" s="69" t="s">
        <v>42</v>
      </c>
      <c r="BG10" s="69" t="s">
        <v>40</v>
      </c>
      <c r="BH10" s="69" t="s">
        <v>44</v>
      </c>
      <c r="BI10" s="69" t="s">
        <v>42</v>
      </c>
      <c r="BJ10" s="69" t="s">
        <v>40</v>
      </c>
      <c r="BK10" s="69" t="s">
        <v>42</v>
      </c>
      <c r="BL10" s="69" t="s">
        <v>40</v>
      </c>
      <c r="BM10" s="69" t="s">
        <v>42</v>
      </c>
      <c r="BN10" s="69" t="s">
        <v>40</v>
      </c>
      <c r="BO10" s="69" t="s">
        <v>44</v>
      </c>
      <c r="BP10" s="69" t="s">
        <v>42</v>
      </c>
      <c r="BQ10" s="69" t="s">
        <v>40</v>
      </c>
      <c r="BR10" s="69" t="s">
        <v>42</v>
      </c>
      <c r="BS10" s="69" t="s">
        <v>40</v>
      </c>
      <c r="BT10" s="4"/>
    </row>
    <row r="11" spans="2:72">
      <c r="B11" s="4"/>
      <c r="C11" s="65" t="str">
        <v>Rangga Fachrezy Siregar</v>
      </c>
      <c r="D11" s="3">
        <v>25013166</v>
      </c>
      <c r="E11" s="3" t="str">
        <v>Sales assistant</v>
      </c>
      <c r="F11" s="5"/>
      <c r="G11" s="69" t="s">
        <v>42</v>
      </c>
      <c r="H11" s="69" t="s">
        <v>40</v>
      </c>
      <c r="I11" s="69" t="s">
        <v>42</v>
      </c>
      <c r="J11" s="69" t="s">
        <v>48</v>
      </c>
      <c r="K11" s="69" t="s">
        <v>42</v>
      </c>
      <c r="L11" s="69" t="s">
        <v>40</v>
      </c>
      <c r="M11" s="69" t="s">
        <v>44</v>
      </c>
      <c r="N11" s="69" t="s">
        <v>42</v>
      </c>
      <c r="O11" s="69" t="s">
        <v>40</v>
      </c>
      <c r="P11" s="69" t="s">
        <v>42</v>
      </c>
      <c r="Q11" s="69" t="s">
        <v>48</v>
      </c>
      <c r="R11" s="69" t="s">
        <v>42</v>
      </c>
      <c r="S11" s="69" t="s">
        <v>40</v>
      </c>
      <c r="T11" s="69" t="s">
        <v>44</v>
      </c>
      <c r="U11" s="69" t="s">
        <v>42</v>
      </c>
      <c r="V11" s="69" t="s">
        <v>40</v>
      </c>
      <c r="W11" s="69" t="s">
        <v>42</v>
      </c>
      <c r="X11" s="69" t="s">
        <v>48</v>
      </c>
      <c r="Y11" s="69" t="s">
        <v>42</v>
      </c>
      <c r="Z11" s="69" t="s">
        <v>40</v>
      </c>
      <c r="AA11" s="69" t="s">
        <v>44</v>
      </c>
      <c r="AB11" s="69" t="s">
        <v>42</v>
      </c>
      <c r="AC11" s="69" t="s">
        <v>40</v>
      </c>
      <c r="AD11" s="69" t="s">
        <v>42</v>
      </c>
      <c r="AE11" s="69" t="s">
        <v>48</v>
      </c>
      <c r="AF11" s="69" t="s">
        <v>42</v>
      </c>
      <c r="AG11" s="69" t="s">
        <v>40</v>
      </c>
      <c r="AH11" s="69" t="s">
        <v>44</v>
      </c>
      <c r="AI11" s="69" t="s">
        <v>42</v>
      </c>
      <c r="AJ11" s="69" t="s">
        <v>40</v>
      </c>
      <c r="AK11" s="69"/>
      <c r="AL11" s="4"/>
      <c r="AM11" s="75"/>
      <c r="AN11" s="5"/>
      <c r="AO11" s="69" t="s">
        <v>42</v>
      </c>
      <c r="AP11" s="69" t="s">
        <v>48</v>
      </c>
      <c r="AQ11" s="69" t="s">
        <v>42</v>
      </c>
      <c r="AR11" s="69" t="s">
        <v>40</v>
      </c>
      <c r="AS11" s="69" t="s">
        <v>42</v>
      </c>
      <c r="AT11" s="69" t="s">
        <v>40</v>
      </c>
      <c r="AU11" s="69" t="s">
        <v>44</v>
      </c>
      <c r="AV11" s="69" t="s">
        <v>42</v>
      </c>
      <c r="AW11" s="69" t="s">
        <v>40</v>
      </c>
      <c r="AX11" s="69" t="s">
        <v>42</v>
      </c>
      <c r="AY11" s="69" t="s">
        <v>42</v>
      </c>
      <c r="AZ11" s="69" t="s">
        <v>40</v>
      </c>
      <c r="BA11" s="69" t="s">
        <v>44</v>
      </c>
      <c r="BB11" s="69" t="s">
        <v>42</v>
      </c>
      <c r="BC11" s="69" t="s">
        <v>40</v>
      </c>
      <c r="BD11" s="69" t="s">
        <v>42</v>
      </c>
      <c r="BE11" s="69" t="s">
        <v>40</v>
      </c>
      <c r="BF11" s="69" t="s">
        <v>48</v>
      </c>
      <c r="BG11" s="69" t="s">
        <v>44</v>
      </c>
      <c r="BH11" s="69" t="s">
        <v>42</v>
      </c>
      <c r="BI11" s="69" t="s">
        <v>40</v>
      </c>
      <c r="BJ11" s="69" t="s">
        <v>42</v>
      </c>
      <c r="BK11" s="69" t="s">
        <v>48</v>
      </c>
      <c r="BL11" s="69" t="s">
        <v>42</v>
      </c>
      <c r="BM11" s="69" t="s">
        <v>40</v>
      </c>
      <c r="BN11" s="69" t="s">
        <v>42</v>
      </c>
      <c r="BO11" s="69" t="s">
        <v>40</v>
      </c>
      <c r="BP11" s="69" t="s">
        <v>44</v>
      </c>
      <c r="BQ11" s="69" t="s">
        <v>42</v>
      </c>
      <c r="BR11" s="69" t="s">
        <v>40</v>
      </c>
      <c r="BS11" s="69" t="s">
        <v>42</v>
      </c>
      <c r="BT11" s="4"/>
    </row>
    <row r="12" spans="2:72">
      <c r="B12" s="4"/>
      <c r="C12" s="65" t="str">
        <v>Elang Sofyan</v>
      </c>
      <c r="D12" s="3">
        <v>26024843</v>
      </c>
      <c r="E12" s="3" t="str">
        <v>Sales assistant</v>
      </c>
      <c r="F12" s="5"/>
      <c r="G12" s="69" t="s">
        <v>44</v>
      </c>
      <c r="H12" s="69" t="s">
        <v>42</v>
      </c>
      <c r="I12" s="69" t="s">
        <v>40</v>
      </c>
      <c r="J12" s="69" t="s">
        <v>42</v>
      </c>
      <c r="K12" s="69" t="s">
        <v>40</v>
      </c>
      <c r="L12" s="69" t="s">
        <v>42</v>
      </c>
      <c r="M12" s="69" t="s">
        <v>40</v>
      </c>
      <c r="N12" s="69" t="s">
        <v>44</v>
      </c>
      <c r="O12" s="69" t="s">
        <v>42</v>
      </c>
      <c r="P12" s="69" t="s">
        <v>40</v>
      </c>
      <c r="Q12" s="69" t="s">
        <v>42</v>
      </c>
      <c r="R12" s="69" t="s">
        <v>40</v>
      </c>
      <c r="S12" s="69" t="s">
        <v>42</v>
      </c>
      <c r="T12" s="69" t="s">
        <v>40</v>
      </c>
      <c r="U12" s="69" t="s">
        <v>44</v>
      </c>
      <c r="V12" s="69" t="s">
        <v>42</v>
      </c>
      <c r="W12" s="69" t="s">
        <v>40</v>
      </c>
      <c r="X12" s="69" t="s">
        <v>42</v>
      </c>
      <c r="Y12" s="69" t="s">
        <v>40</v>
      </c>
      <c r="Z12" s="69" t="s">
        <v>42</v>
      </c>
      <c r="AA12" s="69" t="s">
        <v>40</v>
      </c>
      <c r="AB12" s="69" t="s">
        <v>44</v>
      </c>
      <c r="AC12" s="69" t="s">
        <v>42</v>
      </c>
      <c r="AD12" s="69" t="s">
        <v>40</v>
      </c>
      <c r="AE12" s="69" t="s">
        <v>42</v>
      </c>
      <c r="AF12" s="69" t="s">
        <v>40</v>
      </c>
      <c r="AG12" s="69" t="s">
        <v>42</v>
      </c>
      <c r="AH12" s="69" t="s">
        <v>40</v>
      </c>
      <c r="AI12" s="69" t="s">
        <v>44</v>
      </c>
      <c r="AJ12" s="69" t="s">
        <v>42</v>
      </c>
      <c r="AK12" s="69"/>
      <c r="AL12" s="4"/>
      <c r="AM12" s="75"/>
      <c r="AN12" s="5"/>
      <c r="AO12" s="69" t="s">
        <v>40</v>
      </c>
      <c r="AP12" s="69" t="s">
        <v>42</v>
      </c>
      <c r="AQ12" s="69" t="s">
        <v>40</v>
      </c>
      <c r="AR12" s="69" t="s">
        <v>48</v>
      </c>
      <c r="AS12" s="69" t="s">
        <v>44</v>
      </c>
      <c r="AT12" s="69" t="s">
        <v>42</v>
      </c>
      <c r="AU12" s="69" t="s">
        <v>40</v>
      </c>
      <c r="AV12" s="69" t="s">
        <v>42</v>
      </c>
      <c r="AW12" s="69" t="s">
        <v>48</v>
      </c>
      <c r="AX12" s="69" t="s">
        <v>42</v>
      </c>
      <c r="AY12" s="69" t="s">
        <v>40</v>
      </c>
      <c r="AZ12" s="69" t="s">
        <v>42</v>
      </c>
      <c r="BA12" s="69" t="s">
        <v>40</v>
      </c>
      <c r="BB12" s="69" t="s">
        <v>44</v>
      </c>
      <c r="BC12" s="69" t="s">
        <v>42</v>
      </c>
      <c r="BD12" s="69" t="s">
        <v>40</v>
      </c>
      <c r="BE12" s="69" t="s">
        <v>42</v>
      </c>
      <c r="BF12" s="69" t="s">
        <v>42</v>
      </c>
      <c r="BG12" s="69" t="s">
        <v>40</v>
      </c>
      <c r="BH12" s="69" t="s">
        <v>44</v>
      </c>
      <c r="BI12" s="69" t="s">
        <v>42</v>
      </c>
      <c r="BJ12" s="69" t="s">
        <v>40</v>
      </c>
      <c r="BK12" s="69" t="s">
        <v>42</v>
      </c>
      <c r="BL12" s="69" t="s">
        <v>40</v>
      </c>
      <c r="BM12" s="69" t="s">
        <v>48</v>
      </c>
      <c r="BN12" s="69" t="s">
        <v>44</v>
      </c>
      <c r="BO12" s="69" t="s">
        <v>42</v>
      </c>
      <c r="BP12" s="69" t="s">
        <v>40</v>
      </c>
      <c r="BQ12" s="69" t="s">
        <v>42</v>
      </c>
      <c r="BR12" s="69" t="s">
        <v>48</v>
      </c>
      <c r="BS12" s="69" t="s">
        <v>42</v>
      </c>
      <c r="BT12" s="4"/>
    </row>
    <row r="13" spans="2:72">
      <c r="B13" s="4"/>
      <c r="C13" s="65" t="str">
        <v>Jonathan Jeremy Maisa</v>
      </c>
      <c r="D13" s="3">
        <v>26029247</v>
      </c>
      <c r="E13" s="3" t="str">
        <v>Sales assistant</v>
      </c>
      <c r="F13" s="5"/>
      <c r="G13" s="69" t="s">
        <v>40</v>
      </c>
      <c r="H13" s="69" t="s">
        <v>40</v>
      </c>
      <c r="I13" s="69" t="s">
        <v>42</v>
      </c>
      <c r="J13" s="69" t="s">
        <v>40</v>
      </c>
      <c r="K13" s="69" t="s">
        <v>44</v>
      </c>
      <c r="L13" s="69" t="s">
        <v>48</v>
      </c>
      <c r="M13" s="69" t="s">
        <v>42</v>
      </c>
      <c r="N13" s="69" t="s">
        <v>40</v>
      </c>
      <c r="O13" s="69" t="s">
        <v>44</v>
      </c>
      <c r="P13" s="69" t="s">
        <v>42</v>
      </c>
      <c r="Q13" s="69" t="s">
        <v>40</v>
      </c>
      <c r="R13" s="69" t="s">
        <v>42</v>
      </c>
      <c r="S13" s="69" t="s">
        <v>48</v>
      </c>
      <c r="T13" s="69" t="s">
        <v>42</v>
      </c>
      <c r="U13" s="69" t="s">
        <v>40</v>
      </c>
      <c r="V13" s="69" t="s">
        <v>44</v>
      </c>
      <c r="W13" s="69" t="s">
        <v>42</v>
      </c>
      <c r="X13" s="69" t="s">
        <v>40</v>
      </c>
      <c r="Y13" s="69" t="s">
        <v>42</v>
      </c>
      <c r="Z13" s="69" t="s">
        <v>48</v>
      </c>
      <c r="AA13" s="69" t="s">
        <v>42</v>
      </c>
      <c r="AB13" s="69" t="s">
        <v>40</v>
      </c>
      <c r="AC13" s="69" t="s">
        <v>44</v>
      </c>
      <c r="AD13" s="69" t="s">
        <v>42</v>
      </c>
      <c r="AE13" s="69" t="s">
        <v>40</v>
      </c>
      <c r="AF13" s="69" t="s">
        <v>42</v>
      </c>
      <c r="AG13" s="69" t="s">
        <v>48</v>
      </c>
      <c r="AH13" s="69" t="s">
        <v>42</v>
      </c>
      <c r="AI13" s="69" t="s">
        <v>40</v>
      </c>
      <c r="AJ13" s="69" t="s">
        <v>44</v>
      </c>
      <c r="AK13" s="69"/>
      <c r="AL13" s="4"/>
      <c r="AM13" s="75"/>
      <c r="AN13" s="5"/>
      <c r="AO13" s="69" t="s">
        <v>42</v>
      </c>
      <c r="AP13" s="69" t="s">
        <v>40</v>
      </c>
      <c r="AQ13" s="69" t="s">
        <v>42</v>
      </c>
      <c r="AR13" s="69" t="s">
        <v>42</v>
      </c>
      <c r="AS13" s="69" t="s">
        <v>40</v>
      </c>
      <c r="AT13" s="69" t="s">
        <v>44</v>
      </c>
      <c r="AU13" s="69" t="s">
        <v>42</v>
      </c>
      <c r="AV13" s="69" t="s">
        <v>40</v>
      </c>
      <c r="AW13" s="69" t="s">
        <v>42</v>
      </c>
      <c r="AX13" s="69" t="s">
        <v>40</v>
      </c>
      <c r="AY13" s="69" t="s">
        <v>48</v>
      </c>
      <c r="AZ13" s="69" t="s">
        <v>44</v>
      </c>
      <c r="BA13" s="69" t="s">
        <v>42</v>
      </c>
      <c r="BB13" s="69" t="s">
        <v>40</v>
      </c>
      <c r="BC13" s="69" t="s">
        <v>42</v>
      </c>
      <c r="BD13" s="69" t="s">
        <v>48</v>
      </c>
      <c r="BE13" s="69" t="s">
        <v>42</v>
      </c>
      <c r="BF13" s="69" t="s">
        <v>40</v>
      </c>
      <c r="BG13" s="69" t="s">
        <v>42</v>
      </c>
      <c r="BH13" s="69" t="s">
        <v>40</v>
      </c>
      <c r="BI13" s="69" t="s">
        <v>44</v>
      </c>
      <c r="BJ13" s="69" t="s">
        <v>42</v>
      </c>
      <c r="BK13" s="69" t="s">
        <v>40</v>
      </c>
      <c r="BL13" s="69" t="s">
        <v>42</v>
      </c>
      <c r="BM13" s="69" t="s">
        <v>42</v>
      </c>
      <c r="BN13" s="69" t="s">
        <v>40</v>
      </c>
      <c r="BO13" s="69" t="s">
        <v>44</v>
      </c>
      <c r="BP13" s="69" t="s">
        <v>42</v>
      </c>
      <c r="BQ13" s="69" t="s">
        <v>40</v>
      </c>
      <c r="BR13" s="69" t="s">
        <v>42</v>
      </c>
      <c r="BS13" s="69" t="s">
        <v>40</v>
      </c>
      <c r="BT13" s="4"/>
    </row>
    <row r="14" spans="2:72">
      <c r="B14" s="4"/>
      <c r="C14" s="65" t="str">
        <v>Debby Chintya Dewi</v>
      </c>
      <c r="D14" s="3" t="str">
        <v>KRDSP15165</v>
      </c>
      <c r="E14" s="3" t="str">
        <v>Promotor Kredivo</v>
      </c>
      <c r="F14" s="5"/>
      <c r="G14" s="69" t="s">
        <v>42</v>
      </c>
      <c r="H14" s="69" t="s">
        <v>44</v>
      </c>
      <c r="I14" s="69" t="s">
        <v>42</v>
      </c>
      <c r="J14" s="69" t="s">
        <v>42</v>
      </c>
      <c r="K14" s="69" t="s">
        <v>42</v>
      </c>
      <c r="L14" s="69" t="s">
        <v>42</v>
      </c>
      <c r="M14" s="69" t="s">
        <v>40</v>
      </c>
      <c r="N14" s="69" t="s">
        <v>40</v>
      </c>
      <c r="O14" s="69" t="s">
        <v>44</v>
      </c>
      <c r="P14" s="69" t="s">
        <v>40</v>
      </c>
      <c r="Q14" s="69" t="s">
        <v>42</v>
      </c>
      <c r="R14" s="69" t="s">
        <v>40</v>
      </c>
      <c r="S14" s="69" t="s">
        <v>40</v>
      </c>
      <c r="T14" s="69" t="s">
        <v>42</v>
      </c>
      <c r="U14" s="69" t="s">
        <v>42</v>
      </c>
      <c r="V14" s="69" t="s">
        <v>44</v>
      </c>
      <c r="W14" s="69" t="s">
        <v>42</v>
      </c>
      <c r="X14" s="69" t="s">
        <v>42</v>
      </c>
      <c r="Y14" s="69" t="s">
        <v>42</v>
      </c>
      <c r="Z14" s="69" t="s">
        <v>42</v>
      </c>
      <c r="AA14" s="69" t="s">
        <v>40</v>
      </c>
      <c r="AB14" s="69" t="s">
        <v>40</v>
      </c>
      <c r="AC14" s="69" t="s">
        <v>44</v>
      </c>
      <c r="AD14" s="69" t="s">
        <v>40</v>
      </c>
      <c r="AE14" s="69" t="s">
        <v>42</v>
      </c>
      <c r="AF14" s="69" t="s">
        <v>40</v>
      </c>
      <c r="AG14" s="69" t="s">
        <v>40</v>
      </c>
      <c r="AH14" s="69" t="s">
        <v>42</v>
      </c>
      <c r="AI14" s="69" t="s">
        <v>42</v>
      </c>
      <c r="AJ14" s="69" t="s">
        <v>44</v>
      </c>
      <c r="AK14" s="69"/>
      <c r="AL14" s="4"/>
      <c r="AM14" s="75"/>
      <c r="AN14" s="5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69"/>
      <c r="BN14" s="69"/>
      <c r="BO14" s="69"/>
      <c r="BP14" s="69"/>
      <c r="BQ14" s="69"/>
      <c r="BR14" s="69"/>
      <c r="BS14" s="69"/>
      <c r="BT14" s="4"/>
    </row>
    <row r="15" spans="2:72">
      <c r="B15" s="4"/>
      <c r="C15" s="65" t="str">
        <v>Nurapriani</v>
      </c>
      <c r="D15" s="3" t="str">
        <v>KRDSP13365</v>
      </c>
      <c r="E15" s="3" t="str">
        <v>Promotor Kredivo</v>
      </c>
      <c r="F15" s="5"/>
      <c r="G15" s="69" t="s">
        <v>40</v>
      </c>
      <c r="H15" s="69" t="s">
        <v>42</v>
      </c>
      <c r="I15" s="69" t="s">
        <v>40</v>
      </c>
      <c r="J15" s="69" t="s">
        <v>44</v>
      </c>
      <c r="K15" s="69" t="s">
        <v>40</v>
      </c>
      <c r="L15" s="69" t="s">
        <v>40</v>
      </c>
      <c r="M15" s="69" t="s">
        <v>42</v>
      </c>
      <c r="N15" s="69" t="s">
        <v>42</v>
      </c>
      <c r="O15" s="69" t="s">
        <v>42</v>
      </c>
      <c r="P15" s="69" t="s">
        <v>42</v>
      </c>
      <c r="Q15" s="69" t="s">
        <v>44</v>
      </c>
      <c r="R15" s="69" t="s">
        <v>42</v>
      </c>
      <c r="S15" s="69" t="s">
        <v>42</v>
      </c>
      <c r="T15" s="69" t="s">
        <v>40</v>
      </c>
      <c r="U15" s="69" t="s">
        <v>40</v>
      </c>
      <c r="V15" s="69" t="s">
        <v>42</v>
      </c>
      <c r="W15" s="69" t="s">
        <v>40</v>
      </c>
      <c r="X15" s="69" t="s">
        <v>44</v>
      </c>
      <c r="Y15" s="69" t="s">
        <v>40</v>
      </c>
      <c r="Z15" s="69" t="s">
        <v>40</v>
      </c>
      <c r="AA15" s="69" t="s">
        <v>42</v>
      </c>
      <c r="AB15" s="69" t="s">
        <v>42</v>
      </c>
      <c r="AC15" s="69" t="s">
        <v>42</v>
      </c>
      <c r="AD15" s="69" t="s">
        <v>42</v>
      </c>
      <c r="AE15" s="69" t="s">
        <v>44</v>
      </c>
      <c r="AF15" s="69" t="s">
        <v>42</v>
      </c>
      <c r="AG15" s="69" t="s">
        <v>42</v>
      </c>
      <c r="AH15" s="69" t="s">
        <v>40</v>
      </c>
      <c r="AI15" s="69" t="s">
        <v>40</v>
      </c>
      <c r="AJ15" s="69" t="s">
        <v>42</v>
      </c>
      <c r="AK15" s="69"/>
      <c r="AL15" s="4"/>
      <c r="AM15" s="75"/>
      <c r="AN15" s="5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  <c r="BM15" s="69"/>
      <c r="BN15" s="69"/>
      <c r="BO15" s="69"/>
      <c r="BP15" s="69"/>
      <c r="BQ15" s="69"/>
      <c r="BR15" s="69"/>
      <c r="BS15" s="69"/>
      <c r="BT15" s="4"/>
    </row>
    <row r="16" spans="2:72">
      <c r="B16" s="4"/>
      <c r="C16" s="65" t="str">
        <v/>
      </c>
      <c r="D16" s="3" t="str">
        <v/>
      </c>
      <c r="E16" s="3" t="str">
        <v/>
      </c>
      <c r="F16" s="5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4"/>
      <c r="AM16" s="75"/>
      <c r="AN16" s="5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69"/>
      <c r="BM16" s="69"/>
      <c r="BN16" s="69"/>
      <c r="BO16" s="69"/>
      <c r="BP16" s="69"/>
      <c r="BQ16" s="69"/>
      <c r="BR16" s="69"/>
      <c r="BS16" s="69"/>
      <c r="BT16" s="4"/>
    </row>
    <row r="17" spans="2:72">
      <c r="B17" s="4"/>
      <c r="C17" s="65" t="str">
        <v/>
      </c>
      <c r="D17" s="3" t="str">
        <v/>
      </c>
      <c r="E17" s="3" t="str">
        <v/>
      </c>
      <c r="F17" s="5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4"/>
      <c r="AM17" s="75"/>
      <c r="AN17" s="5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69"/>
      <c r="BM17" s="69"/>
      <c r="BN17" s="69"/>
      <c r="BO17" s="69"/>
      <c r="BP17" s="69"/>
      <c r="BQ17" s="69"/>
      <c r="BR17" s="69"/>
      <c r="BS17" s="69"/>
      <c r="BT17" s="4"/>
    </row>
    <row r="18" spans="2:72">
      <c r="B18" s="4"/>
      <c r="C18" s="65" t="str">
        <v/>
      </c>
      <c r="D18" s="3" t="str">
        <v/>
      </c>
      <c r="E18" s="3" t="str">
        <v/>
      </c>
      <c r="F18" s="5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4"/>
      <c r="AM18" s="75"/>
      <c r="AN18" s="5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69"/>
      <c r="BL18" s="69"/>
      <c r="BM18" s="69"/>
      <c r="BN18" s="69"/>
      <c r="BO18" s="69"/>
      <c r="BP18" s="69"/>
      <c r="BQ18" s="69"/>
      <c r="BR18" s="69"/>
      <c r="BS18" s="69"/>
      <c r="BT18" s="4"/>
    </row>
    <row r="19" spans="2:72">
      <c r="B19" s="4"/>
      <c r="C19" s="65" t="str">
        <v/>
      </c>
      <c r="D19" s="3" t="str">
        <v/>
      </c>
      <c r="E19" s="3" t="str">
        <v/>
      </c>
      <c r="F19" s="5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4"/>
      <c r="AM19" s="75"/>
      <c r="AN19" s="5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  <c r="BP19" s="69"/>
      <c r="BQ19" s="69"/>
      <c r="BR19" s="69"/>
      <c r="BS19" s="69"/>
      <c r="BT19" s="4"/>
    </row>
    <row r="20" spans="2:72">
      <c r="B20" s="4"/>
      <c r="C20" s="65" t="str">
        <v/>
      </c>
      <c r="D20" s="3" t="str">
        <v/>
      </c>
      <c r="E20" s="3" t="str">
        <v/>
      </c>
      <c r="F20" s="5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4"/>
      <c r="AM20" s="75"/>
      <c r="AN20" s="5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69"/>
      <c r="BO20" s="69"/>
      <c r="BP20" s="69"/>
      <c r="BQ20" s="69"/>
      <c r="BR20" s="69"/>
      <c r="BS20" s="69"/>
      <c r="BT20" s="4"/>
    </row>
    <row r="21" spans="2:72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75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</row>
    <row r="22" spans="2:72">
      <c r="AM22" s="75"/>
    </row>
    <row r="23" spans="2:72">
      <c r="B23" s="4"/>
      <c r="C23" s="64"/>
      <c r="D23" s="64"/>
      <c r="E23" s="64"/>
      <c r="F23" s="6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75"/>
    </row>
    <row r="24" spans="2:72" ht="15.75">
      <c r="B24" s="4"/>
      <c r="C24" s="90" t="s">
        <v>45</v>
      </c>
      <c r="D24" s="90"/>
      <c r="E24" s="90"/>
      <c r="F24" s="66"/>
      <c r="H24" s="4"/>
      <c r="I24" s="97" t="s">
        <v>53</v>
      </c>
      <c r="J24" s="98"/>
      <c r="K24" s="99"/>
      <c r="L24" s="79" t="s">
        <v>54</v>
      </c>
      <c r="M24" s="94" t="s">
        <v>55</v>
      </c>
      <c r="N24" s="94"/>
      <c r="O24" s="94"/>
      <c r="P24" s="79" t="s">
        <v>54</v>
      </c>
      <c r="Q24" s="94" t="s">
        <v>56</v>
      </c>
      <c r="R24" s="94"/>
      <c r="S24" s="94"/>
      <c r="T24" s="79" t="s">
        <v>54</v>
      </c>
      <c r="U24" s="94"/>
      <c r="V24" s="94"/>
      <c r="W24" s="94"/>
      <c r="X24" s="95" t="s">
        <v>57</v>
      </c>
      <c r="Y24" s="79" t="s">
        <v>54</v>
      </c>
      <c r="Z24" s="94" t="s">
        <v>58</v>
      </c>
      <c r="AA24" s="94"/>
      <c r="AB24" s="94"/>
      <c r="AC24" s="79" t="s">
        <v>54</v>
      </c>
      <c r="AD24" s="94" t="s">
        <v>59</v>
      </c>
      <c r="AE24" s="94"/>
      <c r="AF24" s="94"/>
      <c r="AG24" s="79" t="s">
        <v>54</v>
      </c>
      <c r="AH24" s="94"/>
      <c r="AI24" s="94"/>
      <c r="AJ24" s="94"/>
      <c r="AK24" s="95" t="s">
        <v>60</v>
      </c>
      <c r="AL24" s="4"/>
      <c r="AM24" s="75"/>
    </row>
    <row r="25" spans="2:72">
      <c r="B25" s="4"/>
      <c r="C25" s="63" t="s">
        <v>61</v>
      </c>
      <c r="D25" s="63" t="s">
        <v>62</v>
      </c>
      <c r="E25" s="63" t="s">
        <v>63</v>
      </c>
      <c r="F25" s="67"/>
      <c r="H25" s="4"/>
      <c r="I25" s="97" t="s">
        <v>6</v>
      </c>
      <c r="J25" s="98"/>
      <c r="K25" s="99"/>
      <c r="L25" s="80" t="s">
        <v>64</v>
      </c>
      <c r="M25" s="81" t="s">
        <v>65</v>
      </c>
      <c r="N25" s="82" t="s">
        <v>66</v>
      </c>
      <c r="O25" s="82" t="s">
        <v>67</v>
      </c>
      <c r="P25" s="80" t="s">
        <v>64</v>
      </c>
      <c r="Q25" s="81" t="s">
        <v>65</v>
      </c>
      <c r="R25" s="82" t="s">
        <v>66</v>
      </c>
      <c r="S25" s="82" t="s">
        <v>67</v>
      </c>
      <c r="T25" s="80" t="s">
        <v>64</v>
      </c>
      <c r="U25" s="81" t="s">
        <v>65</v>
      </c>
      <c r="V25" s="82" t="s">
        <v>66</v>
      </c>
      <c r="W25" s="82" t="s">
        <v>67</v>
      </c>
      <c r="X25" s="100"/>
      <c r="Y25" s="80" t="s">
        <v>64</v>
      </c>
      <c r="Z25" s="81" t="s">
        <v>65</v>
      </c>
      <c r="AA25" s="82" t="s">
        <v>66</v>
      </c>
      <c r="AB25" s="82" t="s">
        <v>67</v>
      </c>
      <c r="AC25" s="80" t="s">
        <v>64</v>
      </c>
      <c r="AD25" s="81" t="s">
        <v>65</v>
      </c>
      <c r="AE25" s="82" t="s">
        <v>66</v>
      </c>
      <c r="AF25" s="82" t="s">
        <v>67</v>
      </c>
      <c r="AG25" s="80" t="s">
        <v>64</v>
      </c>
      <c r="AH25" s="81" t="s">
        <v>65</v>
      </c>
      <c r="AI25" s="82" t="s">
        <v>66</v>
      </c>
      <c r="AJ25" s="82" t="s">
        <v>67</v>
      </c>
      <c r="AK25" s="96"/>
      <c r="AL25" s="4"/>
      <c r="AM25" s="75"/>
    </row>
    <row r="26" spans="2:72">
      <c r="B26" s="4"/>
      <c r="C26" s="62">
        <v>46023</v>
      </c>
      <c r="D26" s="61" t="s">
        <v>68</v>
      </c>
      <c r="E26" s="61" t="s">
        <v>69</v>
      </c>
      <c r="F26" s="68"/>
      <c r="H26" s="4"/>
      <c r="I26" s="4" t="str" cm="1">
        <f t="array" ref="I26:I33">C8:C15</f>
        <v>Rahman Ibrahim</v>
      </c>
      <c r="J26" s="4"/>
      <c r="K26" s="4"/>
      <c r="L26" s="83">
        <v>0.66666666666666663</v>
      </c>
      <c r="M26" s="83">
        <v>0.75</v>
      </c>
      <c r="N26" s="78" t="s">
        <v>70</v>
      </c>
      <c r="O26" s="84">
        <v>46273</v>
      </c>
      <c r="P26" s="83">
        <v>0.66666666666666663</v>
      </c>
      <c r="Q26" s="83">
        <v>0.75</v>
      </c>
      <c r="R26" s="78" t="s">
        <v>70</v>
      </c>
      <c r="S26" s="84">
        <v>46287</v>
      </c>
      <c r="T26" s="85"/>
      <c r="U26" s="85"/>
      <c r="V26" s="78"/>
      <c r="W26" s="84"/>
      <c r="X26" s="100"/>
      <c r="Y26" s="85" t="s">
        <v>71</v>
      </c>
      <c r="Z26" s="85"/>
      <c r="AA26" s="78"/>
      <c r="AB26" s="84"/>
      <c r="AC26" s="83">
        <v>0.33333333333333331</v>
      </c>
      <c r="AD26" s="83">
        <v>0.3888888888888889</v>
      </c>
      <c r="AE26" s="78" t="s">
        <v>72</v>
      </c>
      <c r="AF26" s="84">
        <v>46277</v>
      </c>
      <c r="AG26" s="85"/>
      <c r="AH26" s="85"/>
      <c r="AI26" s="78"/>
      <c r="AJ26" s="84"/>
      <c r="AK26" s="96"/>
      <c r="AL26" s="4"/>
      <c r="AM26" s="75"/>
    </row>
    <row r="27" spans="2:72">
      <c r="B27" s="4"/>
      <c r="C27" s="62">
        <v>46038</v>
      </c>
      <c r="D27" s="61" t="s">
        <v>73</v>
      </c>
      <c r="E27" s="61" t="s">
        <v>74</v>
      </c>
      <c r="F27" s="68"/>
      <c r="H27" s="4"/>
      <c r="I27" s="4" t="str">
        <v>Virgina Bella Hattu</v>
      </c>
      <c r="J27" s="4"/>
      <c r="K27" s="4"/>
      <c r="L27" s="83">
        <v>0.66666666666666663</v>
      </c>
      <c r="M27" s="83">
        <v>0.75</v>
      </c>
      <c r="N27" s="78" t="s">
        <v>75</v>
      </c>
      <c r="O27" s="84">
        <v>46275</v>
      </c>
      <c r="P27" s="83">
        <v>0.5</v>
      </c>
      <c r="Q27" s="83">
        <v>0.58333333333333337</v>
      </c>
      <c r="R27" s="78" t="s">
        <v>70</v>
      </c>
      <c r="S27" s="84">
        <v>46287</v>
      </c>
      <c r="T27" s="85"/>
      <c r="U27" s="85"/>
      <c r="V27" s="78"/>
      <c r="W27" s="84"/>
      <c r="X27" s="100"/>
      <c r="Y27" s="83">
        <v>0.625</v>
      </c>
      <c r="Z27" s="83">
        <v>0.63541666666666663</v>
      </c>
      <c r="AA27" s="78" t="s">
        <v>76</v>
      </c>
      <c r="AB27" s="84">
        <v>46286</v>
      </c>
      <c r="AC27" s="85"/>
      <c r="AD27" s="85"/>
      <c r="AE27" s="78" t="s">
        <v>72</v>
      </c>
      <c r="AF27" s="84"/>
      <c r="AG27" s="85"/>
      <c r="AH27" s="85"/>
      <c r="AI27" s="78"/>
      <c r="AJ27" s="84"/>
      <c r="AK27" s="96"/>
      <c r="AL27" s="4"/>
      <c r="AM27" s="75"/>
    </row>
    <row r="28" spans="2:72">
      <c r="B28" s="4"/>
      <c r="C28" s="62">
        <v>46070</v>
      </c>
      <c r="D28" s="61" t="s">
        <v>77</v>
      </c>
      <c r="E28" s="61" t="s">
        <v>78</v>
      </c>
      <c r="F28" s="68"/>
      <c r="H28" s="4"/>
      <c r="I28" s="4" t="str">
        <v>Daniela Karin Mansawan</v>
      </c>
      <c r="J28" s="4"/>
      <c r="K28" s="4"/>
      <c r="L28" s="83">
        <v>0.66666666666666663</v>
      </c>
      <c r="M28" s="83">
        <v>0.75</v>
      </c>
      <c r="N28" s="78" t="s">
        <v>79</v>
      </c>
      <c r="O28" s="84">
        <v>46274</v>
      </c>
      <c r="P28" s="83">
        <v>0.5</v>
      </c>
      <c r="Q28" s="83">
        <v>0.58333333333333337</v>
      </c>
      <c r="R28" s="78" t="s">
        <v>76</v>
      </c>
      <c r="S28" s="84">
        <v>46286</v>
      </c>
      <c r="T28" s="85"/>
      <c r="U28" s="85"/>
      <c r="V28" s="78"/>
      <c r="W28" s="84"/>
      <c r="X28" s="100"/>
      <c r="Y28" s="83">
        <v>0.75</v>
      </c>
      <c r="Z28" s="83">
        <v>0.75347222222222221</v>
      </c>
      <c r="AA28" s="78" t="s">
        <v>79</v>
      </c>
      <c r="AB28" s="84">
        <v>46288</v>
      </c>
      <c r="AC28" s="85"/>
      <c r="AD28" s="85"/>
      <c r="AE28" s="78" t="s">
        <v>72</v>
      </c>
      <c r="AF28" s="84"/>
      <c r="AG28" s="85"/>
      <c r="AH28" s="85"/>
      <c r="AI28" s="78"/>
      <c r="AJ28" s="84"/>
      <c r="AK28" s="96"/>
      <c r="AL28" s="4"/>
    </row>
    <row r="29" spans="2:72">
      <c r="B29" s="4"/>
      <c r="C29" s="62">
        <v>46100</v>
      </c>
      <c r="D29" s="61" t="s">
        <v>68</v>
      </c>
      <c r="E29" s="61" t="s">
        <v>80</v>
      </c>
      <c r="F29" s="68"/>
      <c r="H29" s="4"/>
      <c r="I29" s="4" t="str">
        <v>Rangga Fachrezy Siregar</v>
      </c>
      <c r="J29" s="4"/>
      <c r="K29" s="4"/>
      <c r="L29" s="83">
        <v>0.5</v>
      </c>
      <c r="M29" s="83">
        <v>0.58333333333333337</v>
      </c>
      <c r="N29" s="78" t="s">
        <v>79</v>
      </c>
      <c r="O29" s="84">
        <v>46274</v>
      </c>
      <c r="P29" s="83">
        <v>0.5</v>
      </c>
      <c r="Q29" s="83">
        <v>0.58333333333333337</v>
      </c>
      <c r="R29" s="78" t="s">
        <v>79</v>
      </c>
      <c r="S29" s="84">
        <v>46288</v>
      </c>
      <c r="T29" s="85"/>
      <c r="U29" s="85"/>
      <c r="V29" s="78"/>
      <c r="W29" s="84"/>
      <c r="X29" s="100"/>
      <c r="Y29" s="83">
        <v>0.75</v>
      </c>
      <c r="Z29" s="83">
        <v>0.75347222222222221</v>
      </c>
      <c r="AA29" s="78" t="s">
        <v>75</v>
      </c>
      <c r="AB29" s="84">
        <v>46289</v>
      </c>
      <c r="AC29" s="85"/>
      <c r="AD29" s="85"/>
      <c r="AE29" s="78" t="s">
        <v>72</v>
      </c>
      <c r="AF29" s="84"/>
      <c r="AG29" s="85"/>
      <c r="AH29" s="85"/>
      <c r="AI29" s="78"/>
      <c r="AJ29" s="84"/>
      <c r="AK29" s="96"/>
      <c r="AL29" s="4"/>
    </row>
    <row r="30" spans="2:72">
      <c r="B30" s="4"/>
      <c r="C30" s="61" t="s">
        <v>81</v>
      </c>
      <c r="D30" s="61" t="s">
        <v>82</v>
      </c>
      <c r="E30" s="61" t="s">
        <v>83</v>
      </c>
      <c r="F30" s="68"/>
      <c r="H30" s="4"/>
      <c r="I30" s="4" t="str">
        <v>Elang Sofyan</v>
      </c>
      <c r="J30" s="4"/>
      <c r="K30" s="4"/>
      <c r="L30" s="83">
        <v>0.5</v>
      </c>
      <c r="M30" s="83">
        <v>0.58333333333333337</v>
      </c>
      <c r="N30" s="78" t="s">
        <v>84</v>
      </c>
      <c r="O30" s="84">
        <v>46276</v>
      </c>
      <c r="P30" s="83">
        <v>0.66666666666666663</v>
      </c>
      <c r="Q30" s="83">
        <v>0.75</v>
      </c>
      <c r="R30" s="78" t="s">
        <v>79</v>
      </c>
      <c r="S30" s="84">
        <v>46288</v>
      </c>
      <c r="T30" s="85"/>
      <c r="U30" s="85"/>
      <c r="V30" s="78"/>
      <c r="W30" s="84"/>
      <c r="X30" s="100"/>
      <c r="Y30" s="83">
        <v>0.54166666666666663</v>
      </c>
      <c r="Z30" s="83">
        <v>0.54513888888888884</v>
      </c>
      <c r="AA30" s="78" t="s">
        <v>72</v>
      </c>
      <c r="AB30" s="84">
        <v>46291</v>
      </c>
      <c r="AC30" s="85"/>
      <c r="AD30" s="85"/>
      <c r="AE30" s="78" t="s">
        <v>72</v>
      </c>
      <c r="AF30" s="84"/>
      <c r="AG30" s="85"/>
      <c r="AH30" s="85"/>
      <c r="AI30" s="78"/>
      <c r="AJ30" s="84"/>
      <c r="AK30" s="96"/>
      <c r="AL30" s="4"/>
    </row>
    <row r="31" spans="2:72">
      <c r="B31" s="4"/>
      <c r="C31" s="62">
        <v>46115</v>
      </c>
      <c r="D31" s="61" t="s">
        <v>73</v>
      </c>
      <c r="E31" s="61" t="s">
        <v>85</v>
      </c>
      <c r="F31" s="68"/>
      <c r="H31" s="4"/>
      <c r="I31" s="4" t="str">
        <v>Jonathan Jeremy Maisa</v>
      </c>
      <c r="J31" s="4"/>
      <c r="K31" s="4"/>
      <c r="L31" s="83">
        <v>0.5</v>
      </c>
      <c r="M31" s="83">
        <v>0.58333333333333337</v>
      </c>
      <c r="N31" s="78" t="s">
        <v>70</v>
      </c>
      <c r="O31" s="84">
        <v>46273</v>
      </c>
      <c r="P31" s="83">
        <v>0.66666666666666663</v>
      </c>
      <c r="Q31" s="83">
        <v>0.75</v>
      </c>
      <c r="R31" s="78" t="s">
        <v>76</v>
      </c>
      <c r="S31" s="84">
        <v>46286</v>
      </c>
      <c r="T31" s="85"/>
      <c r="U31" s="85"/>
      <c r="V31" s="78"/>
      <c r="W31" s="84"/>
      <c r="X31" s="100"/>
      <c r="Y31" s="83">
        <v>0.54166666666666663</v>
      </c>
      <c r="Z31" s="83">
        <v>0.54166666666666663</v>
      </c>
      <c r="AA31" s="78" t="s">
        <v>84</v>
      </c>
      <c r="AB31" s="84">
        <v>46290</v>
      </c>
      <c r="AC31" s="85"/>
      <c r="AD31" s="85"/>
      <c r="AE31" s="78" t="s">
        <v>72</v>
      </c>
      <c r="AF31" s="84"/>
      <c r="AG31" s="85"/>
      <c r="AH31" s="85"/>
      <c r="AI31" s="78"/>
      <c r="AJ31" s="84"/>
      <c r="AK31" s="96"/>
      <c r="AL31" s="4"/>
    </row>
    <row r="32" spans="2:72">
      <c r="B32" s="4"/>
      <c r="C32" s="62">
        <v>46117</v>
      </c>
      <c r="D32" s="61" t="s">
        <v>86</v>
      </c>
      <c r="E32" s="61" t="s">
        <v>87</v>
      </c>
      <c r="F32" s="68"/>
      <c r="H32" s="4"/>
      <c r="I32" s="4" t="str">
        <v>Debby Chintya Dewi</v>
      </c>
      <c r="J32" s="4"/>
      <c r="K32" s="4"/>
      <c r="L32" s="85"/>
      <c r="M32" s="85"/>
      <c r="N32" s="78"/>
      <c r="O32" s="84"/>
      <c r="P32" s="85"/>
      <c r="Q32" s="85"/>
      <c r="R32" s="78"/>
      <c r="S32" s="84"/>
      <c r="T32" s="85"/>
      <c r="U32" s="85"/>
      <c r="V32" s="78"/>
      <c r="W32" s="84"/>
      <c r="X32" s="100"/>
      <c r="Y32" s="85"/>
      <c r="Z32" s="85"/>
      <c r="AA32" s="78"/>
      <c r="AB32" s="84"/>
      <c r="AC32" s="85"/>
      <c r="AD32" s="85"/>
      <c r="AE32" s="78"/>
      <c r="AF32" s="84"/>
      <c r="AG32" s="85"/>
      <c r="AH32" s="85"/>
      <c r="AI32" s="78"/>
      <c r="AJ32" s="84"/>
      <c r="AK32" s="96"/>
      <c r="AL32" s="4"/>
    </row>
    <row r="33" spans="2:38">
      <c r="B33" s="4"/>
      <c r="C33" s="62">
        <v>46143</v>
      </c>
      <c r="D33" s="61" t="s">
        <v>73</v>
      </c>
      <c r="E33" s="61" t="s">
        <v>88</v>
      </c>
      <c r="F33" s="68"/>
      <c r="H33" s="4"/>
      <c r="I33" s="4" t="str">
        <v>Nurapriani</v>
      </c>
      <c r="J33" s="4"/>
      <c r="K33" s="4"/>
      <c r="L33" s="85"/>
      <c r="M33" s="85"/>
      <c r="N33" s="78"/>
      <c r="O33" s="84"/>
      <c r="P33" s="85"/>
      <c r="Q33" s="85"/>
      <c r="R33" s="78"/>
      <c r="S33" s="84"/>
      <c r="T33" s="85"/>
      <c r="U33" s="85"/>
      <c r="V33" s="78"/>
      <c r="W33" s="84"/>
      <c r="X33" s="100"/>
      <c r="Y33" s="85"/>
      <c r="Z33" s="85"/>
      <c r="AA33" s="78"/>
      <c r="AB33" s="84"/>
      <c r="AC33" s="85"/>
      <c r="AD33" s="85"/>
      <c r="AE33" s="78"/>
      <c r="AF33" s="84"/>
      <c r="AG33" s="85"/>
      <c r="AH33" s="85"/>
      <c r="AI33" s="78"/>
      <c r="AJ33" s="84"/>
      <c r="AK33" s="96"/>
      <c r="AL33" s="4"/>
    </row>
    <row r="34" spans="2:38">
      <c r="B34" s="4"/>
      <c r="C34" s="62">
        <v>46156</v>
      </c>
      <c r="D34" s="61" t="s">
        <v>68</v>
      </c>
      <c r="E34" s="61" t="s">
        <v>89</v>
      </c>
      <c r="F34" s="68"/>
      <c r="H34" s="4"/>
      <c r="I34" s="4"/>
      <c r="J34" s="4"/>
      <c r="K34" s="4"/>
      <c r="L34" s="85"/>
      <c r="M34" s="85"/>
      <c r="N34" s="78"/>
      <c r="O34" s="84"/>
      <c r="P34" s="85"/>
      <c r="Q34" s="85"/>
      <c r="R34" s="78"/>
      <c r="S34" s="84"/>
      <c r="T34" s="85"/>
      <c r="U34" s="85"/>
      <c r="V34" s="78"/>
      <c r="W34" s="84"/>
      <c r="X34" s="100"/>
      <c r="Y34" s="85"/>
      <c r="Z34" s="85"/>
      <c r="AA34" s="78"/>
      <c r="AB34" s="84"/>
      <c r="AC34" s="85"/>
      <c r="AD34" s="85"/>
      <c r="AE34" s="78"/>
      <c r="AF34" s="84"/>
      <c r="AG34" s="85"/>
      <c r="AH34" s="85"/>
      <c r="AI34" s="78"/>
      <c r="AJ34" s="84"/>
      <c r="AK34" s="96"/>
      <c r="AL34" s="4"/>
    </row>
    <row r="35" spans="2:38">
      <c r="B35" s="4"/>
      <c r="C35" s="62">
        <v>46169</v>
      </c>
      <c r="D35" s="61" t="s">
        <v>90</v>
      </c>
      <c r="E35" s="61" t="s">
        <v>91</v>
      </c>
      <c r="F35" s="68"/>
      <c r="H35" s="4"/>
      <c r="I35" s="4"/>
      <c r="J35" s="4"/>
      <c r="K35" s="4"/>
      <c r="L35" s="85"/>
      <c r="M35" s="85"/>
      <c r="N35" s="78"/>
      <c r="O35" s="84"/>
      <c r="P35" s="85"/>
      <c r="Q35" s="85"/>
      <c r="R35" s="78"/>
      <c r="S35" s="84"/>
      <c r="T35" s="85"/>
      <c r="U35" s="85"/>
      <c r="V35" s="78"/>
      <c r="W35" s="84"/>
      <c r="X35" s="100"/>
      <c r="Y35" s="85"/>
      <c r="Z35" s="85"/>
      <c r="AA35" s="78"/>
      <c r="AB35" s="84"/>
      <c r="AC35" s="85"/>
      <c r="AD35" s="85"/>
      <c r="AE35" s="78"/>
      <c r="AF35" s="84"/>
      <c r="AG35" s="85"/>
      <c r="AH35" s="85"/>
      <c r="AI35" s="78"/>
      <c r="AJ35" s="84"/>
      <c r="AK35" s="96"/>
      <c r="AL35" s="4"/>
    </row>
    <row r="36" spans="2:38">
      <c r="B36" s="4"/>
      <c r="C36" s="62">
        <v>46173</v>
      </c>
      <c r="D36" s="61" t="s">
        <v>86</v>
      </c>
      <c r="E36" s="61" t="s">
        <v>92</v>
      </c>
      <c r="F36" s="68"/>
      <c r="H36" s="4"/>
      <c r="I36" s="4"/>
      <c r="J36" s="4"/>
      <c r="K36" s="4"/>
      <c r="L36" s="85"/>
      <c r="M36" s="85"/>
      <c r="N36" s="78"/>
      <c r="O36" s="84"/>
      <c r="P36" s="85"/>
      <c r="Q36" s="85"/>
      <c r="R36" s="78"/>
      <c r="S36" s="84"/>
      <c r="T36" s="85"/>
      <c r="U36" s="85"/>
      <c r="V36" s="78"/>
      <c r="W36" s="84"/>
      <c r="X36" s="100"/>
      <c r="Y36" s="85"/>
      <c r="Z36" s="85"/>
      <c r="AA36" s="78"/>
      <c r="AB36" s="84"/>
      <c r="AC36" s="85"/>
      <c r="AD36" s="85"/>
      <c r="AE36" s="78"/>
      <c r="AF36" s="84"/>
      <c r="AG36" s="85"/>
      <c r="AH36" s="85"/>
      <c r="AI36" s="78"/>
      <c r="AJ36" s="84"/>
      <c r="AK36" s="96"/>
      <c r="AL36" s="4"/>
    </row>
    <row r="37" spans="2:38">
      <c r="B37" s="4"/>
      <c r="C37" s="62">
        <v>46174</v>
      </c>
      <c r="D37" s="61" t="s">
        <v>93</v>
      </c>
      <c r="E37" s="61" t="s">
        <v>94</v>
      </c>
      <c r="F37" s="68"/>
      <c r="H37" s="4"/>
      <c r="I37" s="4"/>
      <c r="J37" s="4"/>
      <c r="K37" s="4"/>
      <c r="L37" s="85"/>
      <c r="M37" s="85"/>
      <c r="N37" s="86"/>
      <c r="O37" s="84"/>
      <c r="P37" s="85"/>
      <c r="Q37" s="85"/>
      <c r="R37" s="87"/>
      <c r="S37" s="84"/>
      <c r="T37" s="85"/>
      <c r="U37" s="85"/>
      <c r="V37" s="87"/>
      <c r="W37" s="84"/>
      <c r="X37" s="100"/>
      <c r="Y37" s="85"/>
      <c r="Z37" s="85"/>
      <c r="AA37" s="87"/>
      <c r="AB37" s="84"/>
      <c r="AC37" s="85"/>
      <c r="AD37" s="85"/>
      <c r="AE37" s="87"/>
      <c r="AF37" s="84"/>
      <c r="AG37" s="85"/>
      <c r="AH37" s="85"/>
      <c r="AI37" s="87"/>
      <c r="AJ37" s="84"/>
      <c r="AK37" s="96"/>
      <c r="AL37" s="4"/>
    </row>
    <row r="38" spans="2:38">
      <c r="B38" s="4"/>
      <c r="C38" s="62">
        <v>46189</v>
      </c>
      <c r="D38" s="61" t="s">
        <v>77</v>
      </c>
      <c r="E38" s="61" t="s">
        <v>95</v>
      </c>
      <c r="F38" s="68"/>
      <c r="H38" s="4"/>
      <c r="I38" s="4"/>
      <c r="J38" s="4"/>
      <c r="K38" s="4"/>
      <c r="L38" s="85"/>
      <c r="M38" s="85"/>
      <c r="N38" s="78"/>
      <c r="O38" s="84"/>
      <c r="P38" s="85"/>
      <c r="Q38" s="85"/>
      <c r="R38" s="78"/>
      <c r="S38" s="84"/>
      <c r="T38" s="85"/>
      <c r="U38" s="85"/>
      <c r="V38" s="78"/>
      <c r="W38" s="84"/>
      <c r="X38" s="100"/>
      <c r="Y38" s="85"/>
      <c r="Z38" s="85"/>
      <c r="AA38" s="78"/>
      <c r="AB38" s="84"/>
      <c r="AC38" s="85"/>
      <c r="AD38" s="85"/>
      <c r="AE38" s="78"/>
      <c r="AF38" s="84"/>
      <c r="AG38" s="85"/>
      <c r="AH38" s="85"/>
      <c r="AI38" s="78"/>
      <c r="AJ38" s="84"/>
      <c r="AK38" s="96"/>
      <c r="AL38" s="4"/>
    </row>
    <row r="39" spans="2:38">
      <c r="B39" s="4"/>
      <c r="C39" s="62">
        <v>46251</v>
      </c>
      <c r="D39" s="61" t="s">
        <v>93</v>
      </c>
      <c r="E39" s="61" t="s">
        <v>96</v>
      </c>
      <c r="F39" s="68"/>
      <c r="H39" s="4"/>
      <c r="I39" s="4"/>
      <c r="J39" s="4"/>
      <c r="K39" s="4"/>
      <c r="L39" s="85"/>
      <c r="M39" s="85"/>
      <c r="N39" s="78"/>
      <c r="O39" s="84"/>
      <c r="P39" s="85"/>
      <c r="Q39" s="85"/>
      <c r="R39" s="78"/>
      <c r="S39" s="84"/>
      <c r="T39" s="85"/>
      <c r="U39" s="85"/>
      <c r="V39" s="78"/>
      <c r="W39" s="84"/>
      <c r="X39" s="100"/>
      <c r="Y39" s="85"/>
      <c r="Z39" s="85"/>
      <c r="AA39" s="78"/>
      <c r="AB39" s="84"/>
      <c r="AC39" s="85"/>
      <c r="AD39" s="85"/>
      <c r="AE39" s="78"/>
      <c r="AF39" s="84"/>
      <c r="AG39" s="85"/>
      <c r="AH39" s="85"/>
      <c r="AI39" s="78"/>
      <c r="AJ39" s="84"/>
      <c r="AK39" s="96"/>
      <c r="AL39" s="4"/>
    </row>
    <row r="40" spans="2:38">
      <c r="B40" s="4"/>
      <c r="C40" s="62">
        <v>46259</v>
      </c>
      <c r="D40" s="61" t="s">
        <v>77</v>
      </c>
      <c r="E40" s="61" t="s">
        <v>97</v>
      </c>
      <c r="F40" s="68"/>
      <c r="H40" s="4"/>
      <c r="I40" s="4"/>
      <c r="J40" s="4"/>
      <c r="K40" s="4"/>
      <c r="L40" s="85"/>
      <c r="M40" s="85"/>
      <c r="N40" s="78"/>
      <c r="O40" s="84"/>
      <c r="P40" s="85"/>
      <c r="Q40" s="85"/>
      <c r="R40" s="78"/>
      <c r="S40" s="84"/>
      <c r="T40" s="85"/>
      <c r="U40" s="85"/>
      <c r="V40" s="78"/>
      <c r="W40" s="84"/>
      <c r="X40" s="100"/>
      <c r="Y40" s="85"/>
      <c r="Z40" s="85"/>
      <c r="AA40" s="78"/>
      <c r="AB40" s="84"/>
      <c r="AC40" s="85"/>
      <c r="AD40" s="85"/>
      <c r="AE40" s="78"/>
      <c r="AF40" s="84"/>
      <c r="AG40" s="85"/>
      <c r="AH40" s="85"/>
      <c r="AI40" s="78"/>
      <c r="AJ40" s="84"/>
      <c r="AK40" s="96"/>
      <c r="AL40" s="4"/>
    </row>
    <row r="41" spans="2:38">
      <c r="B41" s="4"/>
      <c r="C41" s="62">
        <v>46381</v>
      </c>
      <c r="D41" s="61" t="s">
        <v>73</v>
      </c>
      <c r="E41" s="61" t="s">
        <v>98</v>
      </c>
      <c r="F41" s="68"/>
      <c r="H41" s="4"/>
      <c r="I41" s="4"/>
      <c r="J41" s="4"/>
      <c r="K41" s="4"/>
      <c r="L41" s="85"/>
      <c r="M41" s="85"/>
      <c r="N41" s="78"/>
      <c r="O41" s="84"/>
      <c r="P41" s="85"/>
      <c r="Q41" s="85"/>
      <c r="R41" s="78"/>
      <c r="S41" s="84"/>
      <c r="T41" s="85"/>
      <c r="U41" s="85"/>
      <c r="V41" s="78"/>
      <c r="W41" s="84"/>
      <c r="X41" s="100"/>
      <c r="Y41" s="85"/>
      <c r="Z41" s="85"/>
      <c r="AA41" s="78"/>
      <c r="AB41" s="84"/>
      <c r="AC41" s="85"/>
      <c r="AD41" s="85"/>
      <c r="AE41" s="78"/>
      <c r="AF41" s="84"/>
      <c r="AG41" s="85"/>
      <c r="AH41" s="85"/>
      <c r="AI41" s="78"/>
      <c r="AJ41" s="84"/>
      <c r="AK41" s="96"/>
      <c r="AL41" s="4"/>
    </row>
    <row r="42" spans="2:38">
      <c r="B42" s="4"/>
      <c r="C42" s="6"/>
      <c r="D42" s="6"/>
      <c r="E42" s="6"/>
      <c r="F42" s="64"/>
      <c r="H42" s="4"/>
      <c r="I42" s="4"/>
      <c r="J42" s="4"/>
      <c r="K42" s="4"/>
      <c r="L42" s="85"/>
      <c r="M42" s="85"/>
      <c r="N42" s="78"/>
      <c r="O42" s="84"/>
      <c r="P42" s="85"/>
      <c r="Q42" s="85"/>
      <c r="R42" s="78"/>
      <c r="S42" s="84"/>
      <c r="T42" s="85"/>
      <c r="U42" s="85"/>
      <c r="V42" s="78"/>
      <c r="W42" s="84"/>
      <c r="X42" s="100"/>
      <c r="Y42" s="85"/>
      <c r="Z42" s="85"/>
      <c r="AA42" s="78"/>
      <c r="AB42" s="84"/>
      <c r="AC42" s="85"/>
      <c r="AD42" s="85"/>
      <c r="AE42" s="78"/>
      <c r="AF42" s="84"/>
      <c r="AG42" s="85"/>
      <c r="AH42" s="85"/>
      <c r="AI42" s="78"/>
      <c r="AJ42" s="84"/>
      <c r="AK42" s="96"/>
      <c r="AL42" s="4"/>
    </row>
    <row r="43" spans="2:38">
      <c r="B43" s="4"/>
      <c r="C43" s="6"/>
      <c r="D43" s="6"/>
      <c r="E43" s="6"/>
      <c r="F43" s="64"/>
      <c r="H43" s="4"/>
      <c r="I43" s="4"/>
      <c r="J43" s="4"/>
      <c r="K43" s="4"/>
      <c r="L43" s="85"/>
      <c r="M43" s="85"/>
      <c r="N43" s="78"/>
      <c r="O43" s="84"/>
      <c r="P43" s="85"/>
      <c r="Q43" s="85"/>
      <c r="R43" s="78"/>
      <c r="S43" s="84"/>
      <c r="T43" s="85"/>
      <c r="U43" s="85"/>
      <c r="V43" s="78"/>
      <c r="W43" s="84"/>
      <c r="X43" s="100"/>
      <c r="Y43" s="85"/>
      <c r="Z43" s="85"/>
      <c r="AA43" s="78"/>
      <c r="AB43" s="84"/>
      <c r="AC43" s="85"/>
      <c r="AD43" s="85"/>
      <c r="AE43" s="78"/>
      <c r="AF43" s="84"/>
      <c r="AG43" s="85"/>
      <c r="AH43" s="85"/>
      <c r="AI43" s="78"/>
      <c r="AJ43" s="84"/>
      <c r="AK43" s="96"/>
      <c r="AL43" s="4"/>
    </row>
    <row r="44" spans="2:38">
      <c r="B44" s="4"/>
      <c r="C44" s="6"/>
      <c r="D44" s="6"/>
      <c r="E44" s="6"/>
      <c r="F44" s="64"/>
      <c r="H44" s="4"/>
      <c r="I44" s="4"/>
      <c r="J44" s="4"/>
      <c r="K44" s="4"/>
      <c r="L44" s="85"/>
      <c r="M44" s="85"/>
      <c r="N44" s="78"/>
      <c r="O44" s="84"/>
      <c r="P44" s="85"/>
      <c r="Q44" s="85"/>
      <c r="R44" s="78"/>
      <c r="S44" s="84"/>
      <c r="T44" s="85"/>
      <c r="U44" s="85"/>
      <c r="V44" s="78"/>
      <c r="W44" s="84"/>
      <c r="X44" s="100"/>
      <c r="Y44" s="85"/>
      <c r="Z44" s="85"/>
      <c r="AA44" s="78"/>
      <c r="AB44" s="84"/>
      <c r="AC44" s="85"/>
      <c r="AD44" s="85"/>
      <c r="AE44" s="78"/>
      <c r="AF44" s="84"/>
      <c r="AG44" s="85"/>
      <c r="AH44" s="85"/>
      <c r="AI44" s="78"/>
      <c r="AJ44" s="84"/>
      <c r="AK44" s="96"/>
      <c r="AL44" s="4"/>
    </row>
    <row r="45" spans="2:38">
      <c r="B45" s="4"/>
      <c r="C45" s="6"/>
      <c r="D45" s="6"/>
      <c r="E45" s="6"/>
      <c r="F45" s="64"/>
      <c r="H45" s="4"/>
      <c r="I45" s="4"/>
      <c r="J45" s="4"/>
      <c r="K45" s="4"/>
      <c r="L45" s="85"/>
      <c r="M45" s="85"/>
      <c r="N45" s="78"/>
      <c r="O45" s="84"/>
      <c r="P45" s="85"/>
      <c r="Q45" s="85"/>
      <c r="R45" s="78"/>
      <c r="S45" s="84"/>
      <c r="T45" s="85"/>
      <c r="U45" s="85"/>
      <c r="V45" s="78"/>
      <c r="W45" s="84"/>
      <c r="X45" s="100"/>
      <c r="Y45" s="85"/>
      <c r="Z45" s="85"/>
      <c r="AA45" s="78"/>
      <c r="AB45" s="84"/>
      <c r="AC45" s="85"/>
      <c r="AD45" s="85"/>
      <c r="AE45" s="78"/>
      <c r="AF45" s="84"/>
      <c r="AG45" s="85"/>
      <c r="AH45" s="85"/>
      <c r="AI45" s="78"/>
      <c r="AJ45" s="84"/>
      <c r="AK45" s="96"/>
      <c r="AL45" s="4"/>
    </row>
    <row r="46" spans="2:38">
      <c r="B46" s="4"/>
      <c r="C46" s="6"/>
      <c r="D46" s="6"/>
      <c r="E46" s="6"/>
      <c r="F46" s="64"/>
      <c r="H46" s="4"/>
      <c r="I46" s="4"/>
      <c r="J46" s="4"/>
      <c r="K46" s="4"/>
      <c r="L46" s="85"/>
      <c r="M46" s="85"/>
      <c r="N46" s="78"/>
      <c r="O46" s="84"/>
      <c r="P46" s="85"/>
      <c r="Q46" s="85"/>
      <c r="R46" s="78"/>
      <c r="S46" s="84"/>
      <c r="T46" s="85"/>
      <c r="U46" s="85"/>
      <c r="V46" s="78"/>
      <c r="W46" s="84"/>
      <c r="X46" s="100"/>
      <c r="Y46" s="85"/>
      <c r="Z46" s="85"/>
      <c r="AA46" s="78"/>
      <c r="AB46" s="84"/>
      <c r="AC46" s="85"/>
      <c r="AD46" s="85"/>
      <c r="AE46" s="78"/>
      <c r="AF46" s="84"/>
      <c r="AG46" s="85"/>
      <c r="AH46" s="85"/>
      <c r="AI46" s="78"/>
      <c r="AJ46" s="84"/>
      <c r="AK46" s="96"/>
      <c r="AL46" s="4"/>
    </row>
    <row r="47" spans="2:38">
      <c r="B47" s="4"/>
      <c r="C47" s="6"/>
      <c r="D47" s="6"/>
      <c r="E47" s="6"/>
      <c r="F47" s="64"/>
      <c r="H47" s="4"/>
      <c r="I47" s="4"/>
      <c r="J47" s="4"/>
      <c r="K47" s="4"/>
      <c r="L47" s="85"/>
      <c r="M47" s="85"/>
      <c r="N47" s="78"/>
      <c r="O47" s="84"/>
      <c r="P47" s="85"/>
      <c r="Q47" s="85"/>
      <c r="R47" s="78"/>
      <c r="S47" s="84"/>
      <c r="T47" s="85"/>
      <c r="U47" s="85"/>
      <c r="V47" s="78"/>
      <c r="W47" s="84"/>
      <c r="X47" s="100"/>
      <c r="Y47" s="85"/>
      <c r="Z47" s="85"/>
      <c r="AA47" s="78"/>
      <c r="AB47" s="84"/>
      <c r="AC47" s="85"/>
      <c r="AD47" s="85"/>
      <c r="AE47" s="78"/>
      <c r="AF47" s="84"/>
      <c r="AG47" s="85"/>
      <c r="AH47" s="85"/>
      <c r="AI47" s="78"/>
      <c r="AJ47" s="84"/>
      <c r="AK47" s="96"/>
      <c r="AL47" s="4"/>
    </row>
    <row r="48" spans="2:38">
      <c r="B48" s="4"/>
      <c r="C48" s="6"/>
      <c r="D48" s="6"/>
      <c r="E48" s="6"/>
      <c r="F48" s="64"/>
      <c r="H48" s="4"/>
      <c r="I48" s="4"/>
      <c r="J48" s="4"/>
      <c r="K48" s="4"/>
      <c r="L48" s="85"/>
      <c r="M48" s="85"/>
      <c r="N48" s="78"/>
      <c r="O48" s="84"/>
      <c r="P48" s="85"/>
      <c r="Q48" s="85"/>
      <c r="R48" s="78"/>
      <c r="S48" s="84"/>
      <c r="T48" s="85"/>
      <c r="U48" s="85"/>
      <c r="V48" s="78"/>
      <c r="W48" s="84"/>
      <c r="X48" s="100"/>
      <c r="Y48" s="85"/>
      <c r="Z48" s="85"/>
      <c r="AA48" s="78"/>
      <c r="AB48" s="84"/>
      <c r="AC48" s="85"/>
      <c r="AD48" s="85"/>
      <c r="AE48" s="78"/>
      <c r="AF48" s="84"/>
      <c r="AG48" s="85"/>
      <c r="AH48" s="85"/>
      <c r="AI48" s="78"/>
      <c r="AJ48" s="84"/>
      <c r="AK48" s="96"/>
      <c r="AL48" s="4"/>
    </row>
    <row r="49" spans="2:38">
      <c r="B49" s="4"/>
      <c r="C49" s="6"/>
      <c r="D49" s="6"/>
      <c r="E49" s="6"/>
      <c r="F49" s="64"/>
      <c r="H49" s="4"/>
      <c r="I49" s="4"/>
      <c r="J49" s="4"/>
      <c r="K49" s="4"/>
      <c r="L49" s="85"/>
      <c r="M49" s="85"/>
      <c r="N49" s="78"/>
      <c r="O49" s="84"/>
      <c r="P49" s="85"/>
      <c r="Q49" s="85"/>
      <c r="R49" s="78"/>
      <c r="S49" s="84"/>
      <c r="T49" s="85"/>
      <c r="U49" s="85"/>
      <c r="V49" s="78"/>
      <c r="W49" s="84"/>
      <c r="X49" s="100"/>
      <c r="Y49" s="85"/>
      <c r="Z49" s="85"/>
      <c r="AA49" s="78"/>
      <c r="AB49" s="84"/>
      <c r="AC49" s="85"/>
      <c r="AD49" s="85"/>
      <c r="AE49" s="78"/>
      <c r="AF49" s="84"/>
      <c r="AG49" s="85"/>
      <c r="AH49" s="85"/>
      <c r="AI49" s="78"/>
      <c r="AJ49" s="84"/>
      <c r="AK49" s="96"/>
      <c r="AL49" s="4"/>
    </row>
    <row r="50" spans="2:38">
      <c r="B50" s="4"/>
      <c r="C50" s="6"/>
      <c r="D50" s="6"/>
      <c r="E50" s="6"/>
      <c r="F50" s="64"/>
      <c r="H50" s="4"/>
      <c r="I50" s="4"/>
      <c r="J50" s="4"/>
      <c r="K50" s="4"/>
      <c r="L50" s="85"/>
      <c r="M50" s="85"/>
      <c r="N50" s="78"/>
      <c r="O50" s="84"/>
      <c r="P50" s="85"/>
      <c r="Q50" s="85"/>
      <c r="R50" s="78"/>
      <c r="S50" s="84"/>
      <c r="T50" s="85"/>
      <c r="U50" s="85"/>
      <c r="V50" s="78"/>
      <c r="W50" s="84"/>
      <c r="X50" s="100"/>
      <c r="Y50" s="85"/>
      <c r="Z50" s="85"/>
      <c r="AA50" s="78"/>
      <c r="AB50" s="84"/>
      <c r="AC50" s="85"/>
      <c r="AD50" s="85"/>
      <c r="AE50" s="78"/>
      <c r="AF50" s="84"/>
      <c r="AG50" s="85"/>
      <c r="AH50" s="85"/>
      <c r="AI50" s="78"/>
      <c r="AJ50" s="84"/>
      <c r="AK50" s="96"/>
      <c r="AL50" s="4"/>
    </row>
    <row r="51" spans="2:38">
      <c r="B51" s="4"/>
      <c r="C51" s="6"/>
      <c r="D51" s="6"/>
      <c r="E51" s="6"/>
      <c r="F51" s="64"/>
      <c r="H51" s="4"/>
      <c r="I51" s="4"/>
      <c r="J51" s="4"/>
      <c r="K51" s="4"/>
      <c r="L51" s="85"/>
      <c r="M51" s="85"/>
      <c r="N51" s="78"/>
      <c r="O51" s="84"/>
      <c r="P51" s="85"/>
      <c r="Q51" s="85"/>
      <c r="R51" s="78"/>
      <c r="S51" s="84"/>
      <c r="T51" s="85"/>
      <c r="U51" s="85"/>
      <c r="V51" s="78"/>
      <c r="W51" s="84"/>
      <c r="X51" s="100"/>
      <c r="Y51" s="85"/>
      <c r="Z51" s="85"/>
      <c r="AA51" s="78"/>
      <c r="AB51" s="84"/>
      <c r="AC51" s="85"/>
      <c r="AD51" s="85"/>
      <c r="AE51" s="78"/>
      <c r="AF51" s="84"/>
      <c r="AG51" s="85"/>
      <c r="AH51" s="85"/>
      <c r="AI51" s="78"/>
      <c r="AJ51" s="84"/>
      <c r="AK51" s="96"/>
      <c r="AL51" s="4"/>
    </row>
    <row r="52" spans="2:38">
      <c r="B52" s="4"/>
      <c r="C52" s="6"/>
      <c r="D52" s="6"/>
      <c r="E52" s="6"/>
      <c r="F52" s="64"/>
      <c r="H52" s="4"/>
      <c r="I52" s="4"/>
      <c r="J52" s="4"/>
      <c r="K52" s="4"/>
      <c r="L52" s="85"/>
      <c r="M52" s="85"/>
      <c r="N52" s="78"/>
      <c r="O52" s="84"/>
      <c r="P52" s="85"/>
      <c r="Q52" s="85"/>
      <c r="R52" s="78"/>
      <c r="S52" s="84"/>
      <c r="T52" s="85"/>
      <c r="U52" s="85"/>
      <c r="V52" s="78"/>
      <c r="W52" s="84"/>
      <c r="X52" s="100"/>
      <c r="Y52" s="85"/>
      <c r="Z52" s="85"/>
      <c r="AA52" s="78"/>
      <c r="AB52" s="84"/>
      <c r="AC52" s="85"/>
      <c r="AD52" s="85"/>
      <c r="AE52" s="78"/>
      <c r="AF52" s="84"/>
      <c r="AG52" s="85"/>
      <c r="AH52" s="85"/>
      <c r="AI52" s="78"/>
      <c r="AJ52" s="84"/>
      <c r="AK52" s="96"/>
      <c r="AL52" s="4"/>
    </row>
    <row r="53" spans="2:38">
      <c r="B53" s="4"/>
      <c r="C53" s="6"/>
      <c r="D53" s="6"/>
      <c r="E53" s="6"/>
      <c r="F53" s="64"/>
      <c r="H53" s="4"/>
      <c r="I53" s="4"/>
      <c r="J53" s="4"/>
      <c r="K53" s="4"/>
      <c r="L53" s="85"/>
      <c r="M53" s="85"/>
      <c r="N53" s="78"/>
      <c r="O53" s="84"/>
      <c r="P53" s="85"/>
      <c r="Q53" s="85"/>
      <c r="R53" s="78"/>
      <c r="S53" s="84"/>
      <c r="T53" s="85"/>
      <c r="U53" s="85"/>
      <c r="V53" s="78"/>
      <c r="W53" s="84"/>
      <c r="X53" s="100"/>
      <c r="Y53" s="85"/>
      <c r="Z53" s="85"/>
      <c r="AA53" s="78"/>
      <c r="AB53" s="84"/>
      <c r="AC53" s="85"/>
      <c r="AD53" s="85"/>
      <c r="AE53" s="78"/>
      <c r="AF53" s="84"/>
      <c r="AG53" s="85"/>
      <c r="AH53" s="85"/>
      <c r="AI53" s="78"/>
      <c r="AJ53" s="84"/>
      <c r="AK53" s="96"/>
      <c r="AL53" s="4"/>
    </row>
    <row r="54" spans="2:38">
      <c r="B54" s="4"/>
      <c r="C54" s="6"/>
      <c r="D54" s="6"/>
      <c r="E54" s="6"/>
      <c r="F54" s="64"/>
      <c r="H54" s="4"/>
      <c r="I54" s="4"/>
      <c r="J54" s="4"/>
      <c r="K54" s="4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4"/>
    </row>
    <row r="55" spans="2:38">
      <c r="B55" s="4"/>
      <c r="C55" s="64"/>
      <c r="D55" s="64"/>
      <c r="E55" s="64"/>
      <c r="F55" s="6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</row>
  </sheetData>
  <sheetProtection algorithmName="SHA-512" hashValue="5+72eQxQOIf7KqyGXeJgihvlHanug93eU32qYtQP0k9ddELlHyeGTBACNbjMmUvRJBJ48AG/w8b4AmG+wcxyHw==" saltValue="1fcn3bYUg/ThFkqAeKGTGg==" spinCount="100000" sheet="1" objects="1" scenarios="1"/>
  <protectedRanges>
    <protectedRange sqref="E4:F4 AN4 AR4" name="Range1"/>
    <protectedRange sqref="M24:O24" name="Range2"/>
    <protectedRange sqref="Q24:S24" name="Range3"/>
    <protectedRange sqref="U24:W24" name="Range4"/>
    <protectedRange sqref="Z24:AB24" name="Range5"/>
    <protectedRange sqref="AD24:AF24" name="Range6"/>
    <protectedRange sqref="AH24:AJ24" name="Range7"/>
    <protectedRange sqref="L26:M53" name="Range8"/>
    <protectedRange sqref="P26:Q53" name="Range9"/>
    <protectedRange sqref="T26:U53" name="Range10"/>
    <protectedRange sqref="Y26:Z53" name="Range11"/>
    <protectedRange sqref="AC26:AD53" name="Range12"/>
    <protectedRange sqref="AG26:AH53" name="Range13"/>
    <protectedRange sqref="L26:W53" name="Range14"/>
    <protectedRange sqref="Y26:AJ53" name="Range15"/>
    <protectedRange sqref="G8:AK20 AO8:BM13 BN8:BS8 BN9:BP9 BN10:BS13" name="Range16"/>
  </protectedRanges>
  <mergeCells count="17">
    <mergeCell ref="AH24:AJ24"/>
    <mergeCell ref="AK24:AK53"/>
    <mergeCell ref="I25:K25"/>
    <mergeCell ref="I24:K24"/>
    <mergeCell ref="AO3:AQ4"/>
    <mergeCell ref="M24:O24"/>
    <mergeCell ref="Q24:S24"/>
    <mergeCell ref="U24:W24"/>
    <mergeCell ref="X24:X53"/>
    <mergeCell ref="Z24:AB24"/>
    <mergeCell ref="AD24:AF24"/>
    <mergeCell ref="C24:E24"/>
    <mergeCell ref="C6:C7"/>
    <mergeCell ref="D6:D7"/>
    <mergeCell ref="E6:E7"/>
    <mergeCell ref="C3:C4"/>
    <mergeCell ref="D3:D4"/>
  </mergeCells>
  <conditionalFormatting sqref="G8:AK20">
    <cfRule type="containsBlanks" dxfId="146" priority="140">
      <formula>LEN(TRIM(G8))=0</formula>
    </cfRule>
  </conditionalFormatting>
  <conditionalFormatting sqref="AO14:BS20 BQ9:BS9">
    <cfRule type="containsBlanks" dxfId="145" priority="154">
      <formula>LEN(TRIM(AO9))=0</formula>
    </cfRule>
  </conditionalFormatting>
  <conditionalFormatting sqref="AO8:AR13">
    <cfRule type="containsBlanks" dxfId="144" priority="133">
      <formula>LEN(TRIM(AO8))=0</formula>
    </cfRule>
  </conditionalFormatting>
  <conditionalFormatting sqref="AS8:AY9">
    <cfRule type="containsBlanks" dxfId="143" priority="126">
      <formula>LEN(TRIM(AS8))=0</formula>
    </cfRule>
  </conditionalFormatting>
  <conditionalFormatting sqref="AS10:BS10">
    <cfRule type="containsBlanks" dxfId="142" priority="119">
      <formula>LEN(TRIM(AS10))=0</formula>
    </cfRule>
  </conditionalFormatting>
  <conditionalFormatting sqref="AS12:AY12">
    <cfRule type="containsBlanks" dxfId="141" priority="112">
      <formula>LEN(TRIM(AS12))=0</formula>
    </cfRule>
  </conditionalFormatting>
  <conditionalFormatting sqref="AS13:AY13">
    <cfRule type="containsBlanks" dxfId="140" priority="105">
      <formula>LEN(TRIM(AS13))=0</formula>
    </cfRule>
  </conditionalFormatting>
  <conditionalFormatting sqref="AS11:AY11">
    <cfRule type="containsBlanks" dxfId="139" priority="98">
      <formula>LEN(TRIM(AS11))=0</formula>
    </cfRule>
  </conditionalFormatting>
  <conditionalFormatting sqref="AZ13:BF13">
    <cfRule type="containsBlanks" dxfId="138" priority="91">
      <formula>LEN(TRIM(AZ13))=0</formula>
    </cfRule>
  </conditionalFormatting>
  <conditionalFormatting sqref="AZ11:BF11">
    <cfRule type="containsBlanks" dxfId="137" priority="84">
      <formula>LEN(TRIM(AZ11))=0</formula>
    </cfRule>
  </conditionalFormatting>
  <conditionalFormatting sqref="AZ12:BF12">
    <cfRule type="containsBlanks" dxfId="136" priority="77">
      <formula>LEN(TRIM(AZ12))=0</formula>
    </cfRule>
  </conditionalFormatting>
  <conditionalFormatting sqref="BG11:BM11">
    <cfRule type="containsBlanks" dxfId="135" priority="70">
      <formula>LEN(TRIM(BG11))=0</formula>
    </cfRule>
  </conditionalFormatting>
  <conditionalFormatting sqref="BG12:BM12">
    <cfRule type="containsBlanks" dxfId="134" priority="63">
      <formula>LEN(TRIM(BG12))=0</formula>
    </cfRule>
  </conditionalFormatting>
  <conditionalFormatting sqref="BG13:BM13">
    <cfRule type="containsBlanks" dxfId="133" priority="56">
      <formula>LEN(TRIM(BG13))=0</formula>
    </cfRule>
  </conditionalFormatting>
  <conditionalFormatting sqref="AZ8:BF9">
    <cfRule type="containsBlanks" dxfId="132" priority="49">
      <formula>LEN(TRIM(AZ8))=0</formula>
    </cfRule>
  </conditionalFormatting>
  <conditionalFormatting sqref="BG8:BM9">
    <cfRule type="containsBlanks" dxfId="131" priority="42">
      <formula>LEN(TRIM(BG8))=0</formula>
    </cfRule>
  </conditionalFormatting>
  <conditionalFormatting sqref="BN8:BS8">
    <cfRule type="containsBlanks" dxfId="130" priority="35">
      <formula>LEN(TRIM(BN8))=0</formula>
    </cfRule>
  </conditionalFormatting>
  <conditionalFormatting sqref="BN9:BP9">
    <cfRule type="containsBlanks" dxfId="129" priority="28">
      <formula>LEN(TRIM(BN9))=0</formula>
    </cfRule>
  </conditionalFormatting>
  <conditionalFormatting sqref="BN11:BS11">
    <cfRule type="containsBlanks" dxfId="128" priority="21">
      <formula>LEN(TRIM(BN11))=0</formula>
    </cfRule>
  </conditionalFormatting>
  <conditionalFormatting sqref="BN12:BS12">
    <cfRule type="containsBlanks" dxfId="127" priority="14">
      <formula>LEN(TRIM(BN12))=0</formula>
    </cfRule>
  </conditionalFormatting>
  <conditionalFormatting sqref="BN13:BS13">
    <cfRule type="containsBlanks" dxfId="126" priority="7">
      <formula>LEN(TRIM(BN13))=0</formula>
    </cfRule>
  </conditionalFormatting>
  <dataValidations count="3">
    <dataValidation type="list" allowBlank="1" showInputMessage="1" showErrorMessage="1" sqref="G8:AK20 AO8:BS20" xr:uid="{DAFE359B-8D22-4577-BEA7-32D456B01081}">
      <formula1>"D047, D083, D103, RO, OFF, X&amp;C"</formula1>
    </dataValidation>
    <dataValidation type="list" allowBlank="1" showInputMessage="1" showErrorMessage="1" sqref="N26:N53 R26:R53 V26:V53 AA26:AA53 AE26:AE53 AI26:AI53" xr:uid="{3E190FB9-DC25-4D5C-8F5C-DE4473913616}">
      <formula1>$G$7:$AK$7</formula1>
    </dataValidation>
    <dataValidation type="list" allowBlank="1" showInputMessage="1" showErrorMessage="1" sqref="O26:O53 S26:S53 W26:W53 AB26:AB53 AF26:AF53 AJ26:AJ53" xr:uid="{83A5DA72-8884-46C8-B8FA-0F41193F367A}">
      <formula1>$G$6:$AK$6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34" operator="containsText" id="{605FB5CE-4C00-4511-8696-5D2F93B20287}">
            <xm:f>NOT(ISERROR(SEARCH($U$3,G8)))</xm:f>
            <xm:f>$U$3</xm:f>
            <x14:dxf>
              <font>
                <color rgb="FFFF0000"/>
              </font>
              <fill>
                <patternFill patternType="solid">
                  <bgColor rgb="FFFFFF00"/>
                </patternFill>
              </fill>
            </x14:dxf>
          </x14:cfRule>
          <x14:cfRule type="containsText" priority="135" operator="containsText" id="{787DA846-1279-44CA-94CD-44C31ADD3225}">
            <xm:f>NOT(ISERROR(SEARCH($Q$4,G8)))</xm:f>
            <xm:f>$Q$4</xm:f>
            <x14:dxf>
              <font>
                <color theme="0"/>
              </font>
              <fill>
                <patternFill patternType="solid">
                  <bgColor theme="1"/>
                </patternFill>
              </fill>
            </x14:dxf>
          </x14:cfRule>
          <x14:cfRule type="containsText" priority="136" operator="containsText" id="{4E225EBF-B02C-4424-8BCB-51B7E6298FE5}">
            <xm:f>NOT(ISERROR(SEARCH($P$3,G8)))</xm:f>
            <xm:f>$P$3</xm:f>
            <x14:dxf>
              <font>
                <color theme="0"/>
              </font>
              <fill>
                <patternFill patternType="solid">
                  <bgColor rgb="FFFF0000"/>
                </patternFill>
              </fill>
            </x14:dxf>
          </x14:cfRule>
          <x14:cfRule type="containsText" priority="137" operator="containsText" id="{42FC521B-C75B-4447-A059-49EC69CD2773}">
            <xm:f>NOT(ISERROR(SEARCH($P$3,G8)))</xm:f>
            <xm:f>$P$3</xm:f>
            <x14:dxf>
              <font>
                <color rgb="FFFF0000"/>
              </font>
            </x14:dxf>
          </x14:cfRule>
          <x14:cfRule type="containsText" priority="138" operator="containsText" id="{BB4E4DE4-0BB4-4A84-A93A-DD3146DFBBE5}">
            <xm:f>NOT(ISERROR(SEARCH($H$3,G8)))</xm:f>
            <xm:f>$H$3</xm:f>
            <x14:dxf>
              <font>
                <color theme="4" tint="-0.249977111117893"/>
              </font>
            </x14:dxf>
          </x14:cfRule>
          <x14:cfRule type="containsText" priority="139" operator="containsText" id="{01F726F5-D144-4F52-B56D-C755FAF6827F}">
            <xm:f>NOT(ISERROR(SEARCH($L$3,G8)))</xm:f>
            <xm:f>$L$3</xm:f>
            <x14:dxf>
              <font>
                <color theme="7" tint="-0.249977111117893"/>
              </font>
            </x14:dxf>
          </x14:cfRule>
          <xm:sqref>G8:AK20</xm:sqref>
        </x14:conditionalFormatting>
        <x14:conditionalFormatting xmlns:xm="http://schemas.microsoft.com/office/excel/2006/main">
          <x14:cfRule type="containsText" priority="148" operator="containsText" id="{013FE835-04C7-4E61-9101-E179B0C0A3EB}">
            <xm:f>NOT(ISERROR(SEARCH($U$3,AO9)))</xm:f>
            <xm:f>$U$3</xm:f>
            <x14:dxf>
              <font>
                <color rgb="FFFF0000"/>
              </font>
              <fill>
                <patternFill patternType="solid">
                  <bgColor rgb="FFFFFF00"/>
                </patternFill>
              </fill>
            </x14:dxf>
          </x14:cfRule>
          <x14:cfRule type="containsText" priority="149" operator="containsText" id="{A144234C-1FE4-4BAD-92A3-2FF15C663222}">
            <xm:f>NOT(ISERROR(SEARCH($Q$4,AO9)))</xm:f>
            <xm:f>$Q$4</xm:f>
            <x14:dxf>
              <font>
                <color theme="0"/>
              </font>
              <fill>
                <patternFill patternType="solid">
                  <bgColor theme="1"/>
                </patternFill>
              </fill>
            </x14:dxf>
          </x14:cfRule>
          <x14:cfRule type="containsText" priority="150" operator="containsText" id="{0A8B5797-9ECD-4BEE-9E15-BA04A9BE653C}">
            <xm:f>NOT(ISERROR(SEARCH($P$3,AO9)))</xm:f>
            <xm:f>$P$3</xm:f>
            <x14:dxf>
              <font>
                <color theme="0"/>
              </font>
              <fill>
                <patternFill patternType="solid">
                  <bgColor rgb="FFFF0000"/>
                </patternFill>
              </fill>
            </x14:dxf>
          </x14:cfRule>
          <x14:cfRule type="containsText" priority="151" operator="containsText" id="{DCA9EC59-A4F6-48F9-A09B-3A3B3F6C3D7E}">
            <xm:f>NOT(ISERROR(SEARCH($P$3,AO9)))</xm:f>
            <xm:f>$P$3</xm:f>
            <x14:dxf>
              <font>
                <color rgb="FFFF0000"/>
              </font>
            </x14:dxf>
          </x14:cfRule>
          <x14:cfRule type="containsText" priority="152" operator="containsText" id="{572422FC-733E-4A8A-86D7-551D7F65866A}">
            <xm:f>NOT(ISERROR(SEARCH($H$3,AO9)))</xm:f>
            <xm:f>$H$3</xm:f>
            <x14:dxf>
              <font>
                <color theme="4" tint="-0.249977111117893"/>
              </font>
            </x14:dxf>
          </x14:cfRule>
          <x14:cfRule type="containsText" priority="153" operator="containsText" id="{EE30E7CB-050C-48F0-A110-443FEEAEDD27}">
            <xm:f>NOT(ISERROR(SEARCH($L$3,AO9)))</xm:f>
            <xm:f>$L$3</xm:f>
            <x14:dxf>
              <font>
                <color theme="7" tint="-0.249977111117893"/>
              </font>
            </x14:dxf>
          </x14:cfRule>
          <xm:sqref>AO14:BS20 BQ9:BS9</xm:sqref>
        </x14:conditionalFormatting>
        <x14:conditionalFormatting xmlns:xm="http://schemas.microsoft.com/office/excel/2006/main">
          <x14:cfRule type="containsText" priority="127" operator="containsText" id="{2330A169-91F3-4206-A00D-21EF92B4D169}">
            <xm:f>NOT(ISERROR(SEARCH($U$3,AO8)))</xm:f>
            <xm:f>$U$3</xm:f>
            <x14:dxf>
              <font>
                <color rgb="FFFF0000"/>
              </font>
              <fill>
                <patternFill patternType="solid">
                  <bgColor rgb="FFFFFF00"/>
                </patternFill>
              </fill>
            </x14:dxf>
          </x14:cfRule>
          <x14:cfRule type="containsText" priority="128" operator="containsText" id="{B942298A-7225-4517-B1B4-AFDD499EE3CB}">
            <xm:f>NOT(ISERROR(SEARCH($Q$4,AO8)))</xm:f>
            <xm:f>$Q$4</xm:f>
            <x14:dxf>
              <font>
                <color theme="0"/>
              </font>
              <fill>
                <patternFill patternType="solid">
                  <bgColor theme="1"/>
                </patternFill>
              </fill>
            </x14:dxf>
          </x14:cfRule>
          <x14:cfRule type="containsText" priority="129" operator="containsText" id="{E46C8CD5-36AA-40BA-AFB8-9BD2AD7D90E4}">
            <xm:f>NOT(ISERROR(SEARCH($P$3,AO8)))</xm:f>
            <xm:f>$P$3</xm:f>
            <x14:dxf>
              <font>
                <color theme="0"/>
              </font>
              <fill>
                <patternFill patternType="solid">
                  <bgColor rgb="FFFF0000"/>
                </patternFill>
              </fill>
            </x14:dxf>
          </x14:cfRule>
          <x14:cfRule type="containsText" priority="130" operator="containsText" id="{6AAAF2C3-E004-4CD6-B7DA-FF884C8D7EB1}">
            <xm:f>NOT(ISERROR(SEARCH($P$3,AO8)))</xm:f>
            <xm:f>$P$3</xm:f>
            <x14:dxf>
              <font>
                <color rgb="FFFF0000"/>
              </font>
            </x14:dxf>
          </x14:cfRule>
          <x14:cfRule type="containsText" priority="131" operator="containsText" id="{3EF04577-916F-4188-B457-42E2D1A2E0BE}">
            <xm:f>NOT(ISERROR(SEARCH($H$3,AO8)))</xm:f>
            <xm:f>$H$3</xm:f>
            <x14:dxf>
              <font>
                <color theme="4" tint="-0.249977111117893"/>
              </font>
            </x14:dxf>
          </x14:cfRule>
          <x14:cfRule type="containsText" priority="132" operator="containsText" id="{18E8E368-38A7-4C3E-96B2-E76B38E14753}">
            <xm:f>NOT(ISERROR(SEARCH($L$3,AO8)))</xm:f>
            <xm:f>$L$3</xm:f>
            <x14:dxf>
              <font>
                <color theme="7" tint="-0.249977111117893"/>
              </font>
            </x14:dxf>
          </x14:cfRule>
          <xm:sqref>AO8:AR13</xm:sqref>
        </x14:conditionalFormatting>
        <x14:conditionalFormatting xmlns:xm="http://schemas.microsoft.com/office/excel/2006/main">
          <x14:cfRule type="containsText" priority="120" operator="containsText" id="{A2DBF09F-A28B-4747-832D-8B7911FB31CD}">
            <xm:f>NOT(ISERROR(SEARCH($U$3,AS8)))</xm:f>
            <xm:f>$U$3</xm:f>
            <x14:dxf>
              <font>
                <color rgb="FFFF0000"/>
              </font>
              <fill>
                <patternFill patternType="solid">
                  <bgColor rgb="FFFFFF00"/>
                </patternFill>
              </fill>
            </x14:dxf>
          </x14:cfRule>
          <x14:cfRule type="containsText" priority="121" operator="containsText" id="{25332434-8597-49BF-B66F-A9623B591BD3}">
            <xm:f>NOT(ISERROR(SEARCH($Q$4,AS8)))</xm:f>
            <xm:f>$Q$4</xm:f>
            <x14:dxf>
              <font>
                <color theme="0"/>
              </font>
              <fill>
                <patternFill patternType="solid">
                  <bgColor theme="1"/>
                </patternFill>
              </fill>
            </x14:dxf>
          </x14:cfRule>
          <x14:cfRule type="containsText" priority="122" operator="containsText" id="{E7CF1D3C-B0D0-4734-8647-F6C9EB9FE9A5}">
            <xm:f>NOT(ISERROR(SEARCH($P$3,AS8)))</xm:f>
            <xm:f>$P$3</xm:f>
            <x14:dxf>
              <font>
                <color theme="0"/>
              </font>
              <fill>
                <patternFill patternType="solid">
                  <bgColor rgb="FFFF0000"/>
                </patternFill>
              </fill>
            </x14:dxf>
          </x14:cfRule>
          <x14:cfRule type="containsText" priority="123" operator="containsText" id="{D298C579-5E7F-4A26-8983-5B53934A5756}">
            <xm:f>NOT(ISERROR(SEARCH($P$3,AS8)))</xm:f>
            <xm:f>$P$3</xm:f>
            <x14:dxf>
              <font>
                <color rgb="FFFF0000"/>
              </font>
            </x14:dxf>
          </x14:cfRule>
          <x14:cfRule type="containsText" priority="124" operator="containsText" id="{8CC1BCD3-C358-4402-BE4B-AD95C040BFB0}">
            <xm:f>NOT(ISERROR(SEARCH($H$3,AS8)))</xm:f>
            <xm:f>$H$3</xm:f>
            <x14:dxf>
              <font>
                <color theme="4" tint="-0.249977111117893"/>
              </font>
            </x14:dxf>
          </x14:cfRule>
          <x14:cfRule type="containsText" priority="125" operator="containsText" id="{0E3F55A4-9F5D-4CD0-A065-7C83020158F6}">
            <xm:f>NOT(ISERROR(SEARCH($L$3,AS8)))</xm:f>
            <xm:f>$L$3</xm:f>
            <x14:dxf>
              <font>
                <color theme="7" tint="-0.249977111117893"/>
              </font>
            </x14:dxf>
          </x14:cfRule>
          <xm:sqref>AS8:AY9</xm:sqref>
        </x14:conditionalFormatting>
        <x14:conditionalFormatting xmlns:xm="http://schemas.microsoft.com/office/excel/2006/main">
          <x14:cfRule type="containsText" priority="113" operator="containsText" id="{715335DA-FBCD-49E8-B936-C5BC00DC5DCF}">
            <xm:f>NOT(ISERROR(SEARCH($U$3,AS10)))</xm:f>
            <xm:f>$U$3</xm:f>
            <x14:dxf>
              <font>
                <color rgb="FFFF0000"/>
              </font>
              <fill>
                <patternFill patternType="solid">
                  <bgColor rgb="FFFFFF00"/>
                </patternFill>
              </fill>
            </x14:dxf>
          </x14:cfRule>
          <x14:cfRule type="containsText" priority="114" operator="containsText" id="{FB1DA4F0-1887-4D4E-8944-69D8DF6BFBCA}">
            <xm:f>NOT(ISERROR(SEARCH($Q$4,AS10)))</xm:f>
            <xm:f>$Q$4</xm:f>
            <x14:dxf>
              <font>
                <color theme="0"/>
              </font>
              <fill>
                <patternFill patternType="solid">
                  <bgColor theme="1"/>
                </patternFill>
              </fill>
            </x14:dxf>
          </x14:cfRule>
          <x14:cfRule type="containsText" priority="115" operator="containsText" id="{9D2CFF2E-DC99-4CFC-B3DD-2A150C372583}">
            <xm:f>NOT(ISERROR(SEARCH($P$3,AS10)))</xm:f>
            <xm:f>$P$3</xm:f>
            <x14:dxf>
              <font>
                <color theme="0"/>
              </font>
              <fill>
                <patternFill patternType="solid">
                  <bgColor rgb="FFFF0000"/>
                </patternFill>
              </fill>
            </x14:dxf>
          </x14:cfRule>
          <x14:cfRule type="containsText" priority="116" operator="containsText" id="{685C0807-FB89-48E3-8D3B-5E4A7DBD4327}">
            <xm:f>NOT(ISERROR(SEARCH($P$3,AS10)))</xm:f>
            <xm:f>$P$3</xm:f>
            <x14:dxf>
              <font>
                <color rgb="FFFF0000"/>
              </font>
            </x14:dxf>
          </x14:cfRule>
          <x14:cfRule type="containsText" priority="117" operator="containsText" id="{2C2DF626-CBDF-4EAF-BC1C-C65EDF444EE2}">
            <xm:f>NOT(ISERROR(SEARCH($H$3,AS10)))</xm:f>
            <xm:f>$H$3</xm:f>
            <x14:dxf>
              <font>
                <color theme="4" tint="-0.249977111117893"/>
              </font>
            </x14:dxf>
          </x14:cfRule>
          <x14:cfRule type="containsText" priority="118" operator="containsText" id="{59CCC86B-F456-4C67-A353-F53E0AC5854A}">
            <xm:f>NOT(ISERROR(SEARCH($L$3,AS10)))</xm:f>
            <xm:f>$L$3</xm:f>
            <x14:dxf>
              <font>
                <color theme="7" tint="-0.249977111117893"/>
              </font>
            </x14:dxf>
          </x14:cfRule>
          <xm:sqref>AS10:BS10</xm:sqref>
        </x14:conditionalFormatting>
        <x14:conditionalFormatting xmlns:xm="http://schemas.microsoft.com/office/excel/2006/main">
          <x14:cfRule type="containsText" priority="106" operator="containsText" id="{2D482FF1-F561-474E-A7D7-74EAD420C3B8}">
            <xm:f>NOT(ISERROR(SEARCH($U$3,AS12)))</xm:f>
            <xm:f>$U$3</xm:f>
            <x14:dxf>
              <font>
                <color rgb="FFFF0000"/>
              </font>
              <fill>
                <patternFill patternType="solid">
                  <bgColor rgb="FFFFFF00"/>
                </patternFill>
              </fill>
            </x14:dxf>
          </x14:cfRule>
          <x14:cfRule type="containsText" priority="107" operator="containsText" id="{776AB9A9-2EE0-4DE4-A6AF-F3F99ADB0F0C}">
            <xm:f>NOT(ISERROR(SEARCH($Q$4,AS12)))</xm:f>
            <xm:f>$Q$4</xm:f>
            <x14:dxf>
              <font>
                <color theme="0"/>
              </font>
              <fill>
                <patternFill patternType="solid">
                  <bgColor theme="1"/>
                </patternFill>
              </fill>
            </x14:dxf>
          </x14:cfRule>
          <x14:cfRule type="containsText" priority="108" operator="containsText" id="{05817FFC-BACA-4AD0-828E-36537109EA66}">
            <xm:f>NOT(ISERROR(SEARCH($P$3,AS12)))</xm:f>
            <xm:f>$P$3</xm:f>
            <x14:dxf>
              <font>
                <color theme="0"/>
              </font>
              <fill>
                <patternFill patternType="solid">
                  <bgColor rgb="FFFF0000"/>
                </patternFill>
              </fill>
            </x14:dxf>
          </x14:cfRule>
          <x14:cfRule type="containsText" priority="109" operator="containsText" id="{F3AE9A64-0B97-4E0B-9E24-4D732A4E2780}">
            <xm:f>NOT(ISERROR(SEARCH($P$3,AS12)))</xm:f>
            <xm:f>$P$3</xm:f>
            <x14:dxf>
              <font>
                <color rgb="FFFF0000"/>
              </font>
            </x14:dxf>
          </x14:cfRule>
          <x14:cfRule type="containsText" priority="110" operator="containsText" id="{B2D6CAFF-E6AA-4B91-A8DC-0702AB49565B}">
            <xm:f>NOT(ISERROR(SEARCH($H$3,AS12)))</xm:f>
            <xm:f>$H$3</xm:f>
            <x14:dxf>
              <font>
                <color theme="4" tint="-0.249977111117893"/>
              </font>
            </x14:dxf>
          </x14:cfRule>
          <x14:cfRule type="containsText" priority="111" operator="containsText" id="{8F378582-1A68-40AB-B4DF-444C621EB6C5}">
            <xm:f>NOT(ISERROR(SEARCH($L$3,AS12)))</xm:f>
            <xm:f>$L$3</xm:f>
            <x14:dxf>
              <font>
                <color theme="7" tint="-0.249977111117893"/>
              </font>
            </x14:dxf>
          </x14:cfRule>
          <xm:sqref>AS12:AY12</xm:sqref>
        </x14:conditionalFormatting>
        <x14:conditionalFormatting xmlns:xm="http://schemas.microsoft.com/office/excel/2006/main">
          <x14:cfRule type="containsText" priority="99" operator="containsText" id="{F3E1870B-5ED7-470F-B06E-6EBF8195FFC6}">
            <xm:f>NOT(ISERROR(SEARCH($U$3,AS13)))</xm:f>
            <xm:f>$U$3</xm:f>
            <x14:dxf>
              <font>
                <color rgb="FFFF0000"/>
              </font>
              <fill>
                <patternFill patternType="solid">
                  <bgColor rgb="FFFFFF00"/>
                </patternFill>
              </fill>
            </x14:dxf>
          </x14:cfRule>
          <x14:cfRule type="containsText" priority="100" operator="containsText" id="{6440D981-63EA-42EA-9485-093FC9B6025E}">
            <xm:f>NOT(ISERROR(SEARCH($Q$4,AS13)))</xm:f>
            <xm:f>$Q$4</xm:f>
            <x14:dxf>
              <font>
                <color theme="0"/>
              </font>
              <fill>
                <patternFill patternType="solid">
                  <bgColor theme="1"/>
                </patternFill>
              </fill>
            </x14:dxf>
          </x14:cfRule>
          <x14:cfRule type="containsText" priority="101" operator="containsText" id="{8B9FDE01-0943-49AD-A6AB-9DA64F16241B}">
            <xm:f>NOT(ISERROR(SEARCH($P$3,AS13)))</xm:f>
            <xm:f>$P$3</xm:f>
            <x14:dxf>
              <font>
                <color theme="0"/>
              </font>
              <fill>
                <patternFill patternType="solid">
                  <bgColor rgb="FFFF0000"/>
                </patternFill>
              </fill>
            </x14:dxf>
          </x14:cfRule>
          <x14:cfRule type="containsText" priority="102" operator="containsText" id="{11765F13-AC65-40F9-AABA-C687D42F61D7}">
            <xm:f>NOT(ISERROR(SEARCH($P$3,AS13)))</xm:f>
            <xm:f>$P$3</xm:f>
            <x14:dxf>
              <font>
                <color rgb="FFFF0000"/>
              </font>
            </x14:dxf>
          </x14:cfRule>
          <x14:cfRule type="containsText" priority="103" operator="containsText" id="{BB9B4283-AF1D-4861-8C8E-EAFE33811A94}">
            <xm:f>NOT(ISERROR(SEARCH($H$3,AS13)))</xm:f>
            <xm:f>$H$3</xm:f>
            <x14:dxf>
              <font>
                <color theme="4" tint="-0.249977111117893"/>
              </font>
            </x14:dxf>
          </x14:cfRule>
          <x14:cfRule type="containsText" priority="104" operator="containsText" id="{B3800CDF-6838-4180-9748-2B14F8438C05}">
            <xm:f>NOT(ISERROR(SEARCH($L$3,AS13)))</xm:f>
            <xm:f>$L$3</xm:f>
            <x14:dxf>
              <font>
                <color theme="7" tint="-0.249977111117893"/>
              </font>
            </x14:dxf>
          </x14:cfRule>
          <xm:sqref>AS13:AY13</xm:sqref>
        </x14:conditionalFormatting>
        <x14:conditionalFormatting xmlns:xm="http://schemas.microsoft.com/office/excel/2006/main">
          <x14:cfRule type="containsText" priority="92" operator="containsText" id="{6605EEB3-0704-4F32-BE85-BBD18766D652}">
            <xm:f>NOT(ISERROR(SEARCH($U$3,AS11)))</xm:f>
            <xm:f>$U$3</xm:f>
            <x14:dxf>
              <font>
                <color rgb="FFFF0000"/>
              </font>
              <fill>
                <patternFill patternType="solid">
                  <bgColor rgb="FFFFFF00"/>
                </patternFill>
              </fill>
            </x14:dxf>
          </x14:cfRule>
          <x14:cfRule type="containsText" priority="93" operator="containsText" id="{85175B0E-1C0B-467F-A5ED-ACE432B0D3A1}">
            <xm:f>NOT(ISERROR(SEARCH($Q$4,AS11)))</xm:f>
            <xm:f>$Q$4</xm:f>
            <x14:dxf>
              <font>
                <color theme="0"/>
              </font>
              <fill>
                <patternFill patternType="solid">
                  <bgColor theme="1"/>
                </patternFill>
              </fill>
            </x14:dxf>
          </x14:cfRule>
          <x14:cfRule type="containsText" priority="94" operator="containsText" id="{4D231458-2806-41DD-A6D0-747A9896EE30}">
            <xm:f>NOT(ISERROR(SEARCH($P$3,AS11)))</xm:f>
            <xm:f>$P$3</xm:f>
            <x14:dxf>
              <font>
                <color theme="0"/>
              </font>
              <fill>
                <patternFill patternType="solid">
                  <bgColor rgb="FFFF0000"/>
                </patternFill>
              </fill>
            </x14:dxf>
          </x14:cfRule>
          <x14:cfRule type="containsText" priority="95" operator="containsText" id="{7B397B78-1462-4579-B0CC-A44FA4D32B09}">
            <xm:f>NOT(ISERROR(SEARCH($P$3,AS11)))</xm:f>
            <xm:f>$P$3</xm:f>
            <x14:dxf>
              <font>
                <color rgb="FFFF0000"/>
              </font>
            </x14:dxf>
          </x14:cfRule>
          <x14:cfRule type="containsText" priority="96" operator="containsText" id="{DCC6B99A-B82C-4696-8768-1A2839242F64}">
            <xm:f>NOT(ISERROR(SEARCH($H$3,AS11)))</xm:f>
            <xm:f>$H$3</xm:f>
            <x14:dxf>
              <font>
                <color theme="4" tint="-0.249977111117893"/>
              </font>
            </x14:dxf>
          </x14:cfRule>
          <x14:cfRule type="containsText" priority="97" operator="containsText" id="{1566A642-168D-4AAC-A7AF-2B2D6A564629}">
            <xm:f>NOT(ISERROR(SEARCH($L$3,AS11)))</xm:f>
            <xm:f>$L$3</xm:f>
            <x14:dxf>
              <font>
                <color theme="7" tint="-0.249977111117893"/>
              </font>
            </x14:dxf>
          </x14:cfRule>
          <xm:sqref>AS11:AY11</xm:sqref>
        </x14:conditionalFormatting>
        <x14:conditionalFormatting xmlns:xm="http://schemas.microsoft.com/office/excel/2006/main">
          <x14:cfRule type="containsText" priority="85" operator="containsText" id="{E44EA50F-5182-49F1-B4F4-32AD9C7D1698}">
            <xm:f>NOT(ISERROR(SEARCH($U$3,AZ13)))</xm:f>
            <xm:f>$U$3</xm:f>
            <x14:dxf>
              <font>
                <color rgb="FFFF0000"/>
              </font>
              <fill>
                <patternFill patternType="solid">
                  <bgColor rgb="FFFFFF00"/>
                </patternFill>
              </fill>
            </x14:dxf>
          </x14:cfRule>
          <x14:cfRule type="containsText" priority="86" operator="containsText" id="{C46F171E-3FAE-4A3B-A9CD-21963538A49E}">
            <xm:f>NOT(ISERROR(SEARCH($Q$4,AZ13)))</xm:f>
            <xm:f>$Q$4</xm:f>
            <x14:dxf>
              <font>
                <color theme="0"/>
              </font>
              <fill>
                <patternFill patternType="solid">
                  <bgColor theme="1"/>
                </patternFill>
              </fill>
            </x14:dxf>
          </x14:cfRule>
          <x14:cfRule type="containsText" priority="87" operator="containsText" id="{FC8542E1-A918-4E53-96BF-FC13BFEBF394}">
            <xm:f>NOT(ISERROR(SEARCH($P$3,AZ13)))</xm:f>
            <xm:f>$P$3</xm:f>
            <x14:dxf>
              <font>
                <color theme="0"/>
              </font>
              <fill>
                <patternFill patternType="solid">
                  <bgColor rgb="FFFF0000"/>
                </patternFill>
              </fill>
            </x14:dxf>
          </x14:cfRule>
          <x14:cfRule type="containsText" priority="88" operator="containsText" id="{F08B4E12-E15D-41D3-96CE-57CCF3A7A39F}">
            <xm:f>NOT(ISERROR(SEARCH($P$3,AZ13)))</xm:f>
            <xm:f>$P$3</xm:f>
            <x14:dxf>
              <font>
                <color rgb="FFFF0000"/>
              </font>
            </x14:dxf>
          </x14:cfRule>
          <x14:cfRule type="containsText" priority="89" operator="containsText" id="{B4CDF8BB-A786-4D22-AD5D-801872C2C613}">
            <xm:f>NOT(ISERROR(SEARCH($H$3,AZ13)))</xm:f>
            <xm:f>$H$3</xm:f>
            <x14:dxf>
              <font>
                <color theme="4" tint="-0.249977111117893"/>
              </font>
            </x14:dxf>
          </x14:cfRule>
          <x14:cfRule type="containsText" priority="90" operator="containsText" id="{85C752EB-A262-48B5-947F-EB3ECB83353B}">
            <xm:f>NOT(ISERROR(SEARCH($L$3,AZ13)))</xm:f>
            <xm:f>$L$3</xm:f>
            <x14:dxf>
              <font>
                <color theme="7" tint="-0.249977111117893"/>
              </font>
            </x14:dxf>
          </x14:cfRule>
          <xm:sqref>AZ13:BF13</xm:sqref>
        </x14:conditionalFormatting>
        <x14:conditionalFormatting xmlns:xm="http://schemas.microsoft.com/office/excel/2006/main">
          <x14:cfRule type="containsText" priority="78" operator="containsText" id="{E3589260-B32A-4557-8ED1-D754EC07A3F6}">
            <xm:f>NOT(ISERROR(SEARCH($U$3,AZ11)))</xm:f>
            <xm:f>$U$3</xm:f>
            <x14:dxf>
              <font>
                <color rgb="FFFF0000"/>
              </font>
              <fill>
                <patternFill patternType="solid">
                  <bgColor rgb="FFFFFF00"/>
                </patternFill>
              </fill>
            </x14:dxf>
          </x14:cfRule>
          <x14:cfRule type="containsText" priority="79" operator="containsText" id="{5CC68B47-BDD1-49FD-80D8-0F8C09DBC659}">
            <xm:f>NOT(ISERROR(SEARCH($Q$4,AZ11)))</xm:f>
            <xm:f>$Q$4</xm:f>
            <x14:dxf>
              <font>
                <color theme="0"/>
              </font>
              <fill>
                <patternFill patternType="solid">
                  <bgColor theme="1"/>
                </patternFill>
              </fill>
            </x14:dxf>
          </x14:cfRule>
          <x14:cfRule type="containsText" priority="80" operator="containsText" id="{CB09721D-AEB2-4934-856F-B46431263376}">
            <xm:f>NOT(ISERROR(SEARCH($P$3,AZ11)))</xm:f>
            <xm:f>$P$3</xm:f>
            <x14:dxf>
              <font>
                <color theme="0"/>
              </font>
              <fill>
                <patternFill patternType="solid">
                  <bgColor rgb="FFFF0000"/>
                </patternFill>
              </fill>
            </x14:dxf>
          </x14:cfRule>
          <x14:cfRule type="containsText" priority="81" operator="containsText" id="{06728581-AF8C-42B4-AEAC-5D9774A078BB}">
            <xm:f>NOT(ISERROR(SEARCH($P$3,AZ11)))</xm:f>
            <xm:f>$P$3</xm:f>
            <x14:dxf>
              <font>
                <color rgb="FFFF0000"/>
              </font>
            </x14:dxf>
          </x14:cfRule>
          <x14:cfRule type="containsText" priority="82" operator="containsText" id="{BD86939F-893A-4A7D-9720-450D69BA7416}">
            <xm:f>NOT(ISERROR(SEARCH($H$3,AZ11)))</xm:f>
            <xm:f>$H$3</xm:f>
            <x14:dxf>
              <font>
                <color theme="4" tint="-0.249977111117893"/>
              </font>
            </x14:dxf>
          </x14:cfRule>
          <x14:cfRule type="containsText" priority="83" operator="containsText" id="{6B4A5162-E46B-4438-904B-93943989533F}">
            <xm:f>NOT(ISERROR(SEARCH($L$3,AZ11)))</xm:f>
            <xm:f>$L$3</xm:f>
            <x14:dxf>
              <font>
                <color theme="7" tint="-0.249977111117893"/>
              </font>
            </x14:dxf>
          </x14:cfRule>
          <xm:sqref>AZ11:BF11</xm:sqref>
        </x14:conditionalFormatting>
        <x14:conditionalFormatting xmlns:xm="http://schemas.microsoft.com/office/excel/2006/main">
          <x14:cfRule type="containsText" priority="71" operator="containsText" id="{745FC57D-877A-46E6-82B0-4CEBCC0D53FD}">
            <xm:f>NOT(ISERROR(SEARCH($U$3,AZ12)))</xm:f>
            <xm:f>$U$3</xm:f>
            <x14:dxf>
              <font>
                <color rgb="FFFF0000"/>
              </font>
              <fill>
                <patternFill patternType="solid">
                  <bgColor rgb="FFFFFF00"/>
                </patternFill>
              </fill>
            </x14:dxf>
          </x14:cfRule>
          <x14:cfRule type="containsText" priority="72" operator="containsText" id="{451A9739-5C73-4C92-BAF7-18FDC738FED6}">
            <xm:f>NOT(ISERROR(SEARCH($Q$4,AZ12)))</xm:f>
            <xm:f>$Q$4</xm:f>
            <x14:dxf>
              <font>
                <color theme="0"/>
              </font>
              <fill>
                <patternFill patternType="solid">
                  <bgColor theme="1"/>
                </patternFill>
              </fill>
            </x14:dxf>
          </x14:cfRule>
          <x14:cfRule type="containsText" priority="73" operator="containsText" id="{0846AED6-4A47-47B0-9AA8-6A2E3A8C5440}">
            <xm:f>NOT(ISERROR(SEARCH($P$3,AZ12)))</xm:f>
            <xm:f>$P$3</xm:f>
            <x14:dxf>
              <font>
                <color theme="0"/>
              </font>
              <fill>
                <patternFill patternType="solid">
                  <bgColor rgb="FFFF0000"/>
                </patternFill>
              </fill>
            </x14:dxf>
          </x14:cfRule>
          <x14:cfRule type="containsText" priority="74" operator="containsText" id="{28EFC02D-1675-49AD-A499-05DF1D5E5041}">
            <xm:f>NOT(ISERROR(SEARCH($P$3,AZ12)))</xm:f>
            <xm:f>$P$3</xm:f>
            <x14:dxf>
              <font>
                <color rgb="FFFF0000"/>
              </font>
            </x14:dxf>
          </x14:cfRule>
          <x14:cfRule type="containsText" priority="75" operator="containsText" id="{7E0D9261-D962-4F6E-AACD-C7B60D30174B}">
            <xm:f>NOT(ISERROR(SEARCH($H$3,AZ12)))</xm:f>
            <xm:f>$H$3</xm:f>
            <x14:dxf>
              <font>
                <color theme="4" tint="-0.249977111117893"/>
              </font>
            </x14:dxf>
          </x14:cfRule>
          <x14:cfRule type="containsText" priority="76" operator="containsText" id="{19661E1A-324F-4548-B279-5C85D7006EA9}">
            <xm:f>NOT(ISERROR(SEARCH($L$3,AZ12)))</xm:f>
            <xm:f>$L$3</xm:f>
            <x14:dxf>
              <font>
                <color theme="7" tint="-0.249977111117893"/>
              </font>
            </x14:dxf>
          </x14:cfRule>
          <xm:sqref>AZ12:BF12</xm:sqref>
        </x14:conditionalFormatting>
        <x14:conditionalFormatting xmlns:xm="http://schemas.microsoft.com/office/excel/2006/main">
          <x14:cfRule type="containsText" priority="64" operator="containsText" id="{47FF006F-DAE1-459C-B292-1B57C61D155F}">
            <xm:f>NOT(ISERROR(SEARCH($U$3,BG11)))</xm:f>
            <xm:f>$U$3</xm:f>
            <x14:dxf>
              <font>
                <color rgb="FFFF0000"/>
              </font>
              <fill>
                <patternFill patternType="solid">
                  <bgColor rgb="FFFFFF00"/>
                </patternFill>
              </fill>
            </x14:dxf>
          </x14:cfRule>
          <x14:cfRule type="containsText" priority="65" operator="containsText" id="{B43E0C3A-F9DC-4CEC-98F0-3F2037B38EB1}">
            <xm:f>NOT(ISERROR(SEARCH($Q$4,BG11)))</xm:f>
            <xm:f>$Q$4</xm:f>
            <x14:dxf>
              <font>
                <color theme="0"/>
              </font>
              <fill>
                <patternFill patternType="solid">
                  <bgColor theme="1"/>
                </patternFill>
              </fill>
            </x14:dxf>
          </x14:cfRule>
          <x14:cfRule type="containsText" priority="66" operator="containsText" id="{B4E3CE81-77C8-4009-8A5C-AF93B67293AE}">
            <xm:f>NOT(ISERROR(SEARCH($P$3,BG11)))</xm:f>
            <xm:f>$P$3</xm:f>
            <x14:dxf>
              <font>
                <color theme="0"/>
              </font>
              <fill>
                <patternFill patternType="solid">
                  <bgColor rgb="FFFF0000"/>
                </patternFill>
              </fill>
            </x14:dxf>
          </x14:cfRule>
          <x14:cfRule type="containsText" priority="67" operator="containsText" id="{CCEB37B6-5DF1-4CC0-9005-16B36C98F353}">
            <xm:f>NOT(ISERROR(SEARCH($P$3,BG11)))</xm:f>
            <xm:f>$P$3</xm:f>
            <x14:dxf>
              <font>
                <color rgb="FFFF0000"/>
              </font>
            </x14:dxf>
          </x14:cfRule>
          <x14:cfRule type="containsText" priority="68" operator="containsText" id="{99B4C6C7-BFF4-42C2-93CA-50896B307CC3}">
            <xm:f>NOT(ISERROR(SEARCH($H$3,BG11)))</xm:f>
            <xm:f>$H$3</xm:f>
            <x14:dxf>
              <font>
                <color theme="4" tint="-0.249977111117893"/>
              </font>
            </x14:dxf>
          </x14:cfRule>
          <x14:cfRule type="containsText" priority="69" operator="containsText" id="{C459974A-E416-4314-8122-9E2FAD72459B}">
            <xm:f>NOT(ISERROR(SEARCH($L$3,BG11)))</xm:f>
            <xm:f>$L$3</xm:f>
            <x14:dxf>
              <font>
                <color theme="7" tint="-0.249977111117893"/>
              </font>
            </x14:dxf>
          </x14:cfRule>
          <xm:sqref>BG11:BM11</xm:sqref>
        </x14:conditionalFormatting>
        <x14:conditionalFormatting xmlns:xm="http://schemas.microsoft.com/office/excel/2006/main">
          <x14:cfRule type="containsText" priority="57" operator="containsText" id="{73A30687-400E-4F91-B81B-496C8ABA7954}">
            <xm:f>NOT(ISERROR(SEARCH($U$3,BG12)))</xm:f>
            <xm:f>$U$3</xm:f>
            <x14:dxf>
              <font>
                <color rgb="FFFF0000"/>
              </font>
              <fill>
                <patternFill patternType="solid">
                  <bgColor rgb="FFFFFF00"/>
                </patternFill>
              </fill>
            </x14:dxf>
          </x14:cfRule>
          <x14:cfRule type="containsText" priority="58" operator="containsText" id="{6B80C10F-4B86-4A52-A07B-D509E2E46FFC}">
            <xm:f>NOT(ISERROR(SEARCH($Q$4,BG12)))</xm:f>
            <xm:f>$Q$4</xm:f>
            <x14:dxf>
              <font>
                <color theme="0"/>
              </font>
              <fill>
                <patternFill patternType="solid">
                  <bgColor theme="1"/>
                </patternFill>
              </fill>
            </x14:dxf>
          </x14:cfRule>
          <x14:cfRule type="containsText" priority="59" operator="containsText" id="{1DFC43EE-0747-4A63-83FA-BC7B6F4FF8B8}">
            <xm:f>NOT(ISERROR(SEARCH($P$3,BG12)))</xm:f>
            <xm:f>$P$3</xm:f>
            <x14:dxf>
              <font>
                <color theme="0"/>
              </font>
              <fill>
                <patternFill patternType="solid">
                  <bgColor rgb="FFFF0000"/>
                </patternFill>
              </fill>
            </x14:dxf>
          </x14:cfRule>
          <x14:cfRule type="containsText" priority="60" operator="containsText" id="{6729A02E-AE81-4D23-A27D-FAFADB8A4689}">
            <xm:f>NOT(ISERROR(SEARCH($P$3,BG12)))</xm:f>
            <xm:f>$P$3</xm:f>
            <x14:dxf>
              <font>
                <color rgb="FFFF0000"/>
              </font>
            </x14:dxf>
          </x14:cfRule>
          <x14:cfRule type="containsText" priority="61" operator="containsText" id="{E4B78F89-33D3-408A-BAA5-87411427C748}">
            <xm:f>NOT(ISERROR(SEARCH($H$3,BG12)))</xm:f>
            <xm:f>$H$3</xm:f>
            <x14:dxf>
              <font>
                <color theme="4" tint="-0.249977111117893"/>
              </font>
            </x14:dxf>
          </x14:cfRule>
          <x14:cfRule type="containsText" priority="62" operator="containsText" id="{7940A66E-4959-40BF-908B-7D14CD3899AE}">
            <xm:f>NOT(ISERROR(SEARCH($L$3,BG12)))</xm:f>
            <xm:f>$L$3</xm:f>
            <x14:dxf>
              <font>
                <color theme="7" tint="-0.249977111117893"/>
              </font>
            </x14:dxf>
          </x14:cfRule>
          <xm:sqref>BG12:BM12</xm:sqref>
        </x14:conditionalFormatting>
        <x14:conditionalFormatting xmlns:xm="http://schemas.microsoft.com/office/excel/2006/main">
          <x14:cfRule type="containsText" priority="50" operator="containsText" id="{EE205788-895A-4478-95F1-57077FBD2353}">
            <xm:f>NOT(ISERROR(SEARCH($U$3,BG13)))</xm:f>
            <xm:f>$U$3</xm:f>
            <x14:dxf>
              <font>
                <color rgb="FFFF0000"/>
              </font>
              <fill>
                <patternFill patternType="solid">
                  <bgColor rgb="FFFFFF00"/>
                </patternFill>
              </fill>
            </x14:dxf>
          </x14:cfRule>
          <x14:cfRule type="containsText" priority="51" operator="containsText" id="{C39797BB-ED5F-49A3-AB53-F3A43DE83E3E}">
            <xm:f>NOT(ISERROR(SEARCH($Q$4,BG13)))</xm:f>
            <xm:f>$Q$4</xm:f>
            <x14:dxf>
              <font>
                <color theme="0"/>
              </font>
              <fill>
                <patternFill patternType="solid">
                  <bgColor theme="1"/>
                </patternFill>
              </fill>
            </x14:dxf>
          </x14:cfRule>
          <x14:cfRule type="containsText" priority="52" operator="containsText" id="{16FDD813-73B0-42BA-B8B8-8DB0014ABBEF}">
            <xm:f>NOT(ISERROR(SEARCH($P$3,BG13)))</xm:f>
            <xm:f>$P$3</xm:f>
            <x14:dxf>
              <font>
                <color theme="0"/>
              </font>
              <fill>
                <patternFill patternType="solid">
                  <bgColor rgb="FFFF0000"/>
                </patternFill>
              </fill>
            </x14:dxf>
          </x14:cfRule>
          <x14:cfRule type="containsText" priority="53" operator="containsText" id="{1AA96524-23DA-4E8A-AB3C-3A323CE92062}">
            <xm:f>NOT(ISERROR(SEARCH($P$3,BG13)))</xm:f>
            <xm:f>$P$3</xm:f>
            <x14:dxf>
              <font>
                <color rgb="FFFF0000"/>
              </font>
            </x14:dxf>
          </x14:cfRule>
          <x14:cfRule type="containsText" priority="54" operator="containsText" id="{C22A1A1B-C892-40C7-B04D-E5D15A898444}">
            <xm:f>NOT(ISERROR(SEARCH($H$3,BG13)))</xm:f>
            <xm:f>$H$3</xm:f>
            <x14:dxf>
              <font>
                <color theme="4" tint="-0.249977111117893"/>
              </font>
            </x14:dxf>
          </x14:cfRule>
          <x14:cfRule type="containsText" priority="55" operator="containsText" id="{9A5CD172-CBD1-48E4-A76E-13892D5172AF}">
            <xm:f>NOT(ISERROR(SEARCH($L$3,BG13)))</xm:f>
            <xm:f>$L$3</xm:f>
            <x14:dxf>
              <font>
                <color theme="7" tint="-0.249977111117893"/>
              </font>
            </x14:dxf>
          </x14:cfRule>
          <xm:sqref>BG13:BM13</xm:sqref>
        </x14:conditionalFormatting>
        <x14:conditionalFormatting xmlns:xm="http://schemas.microsoft.com/office/excel/2006/main">
          <x14:cfRule type="containsText" priority="43" operator="containsText" id="{4ADBE412-D4D8-4803-A99D-657FBDD5C636}">
            <xm:f>NOT(ISERROR(SEARCH($U$3,AZ8)))</xm:f>
            <xm:f>$U$3</xm:f>
            <x14:dxf>
              <font>
                <color rgb="FFFF0000"/>
              </font>
              <fill>
                <patternFill patternType="solid">
                  <bgColor rgb="FFFFFF00"/>
                </patternFill>
              </fill>
            </x14:dxf>
          </x14:cfRule>
          <x14:cfRule type="containsText" priority="44" operator="containsText" id="{0EF10EE3-08B5-404C-BBD6-31E1468AD76C}">
            <xm:f>NOT(ISERROR(SEARCH($Q$4,AZ8)))</xm:f>
            <xm:f>$Q$4</xm:f>
            <x14:dxf>
              <font>
                <color theme="0"/>
              </font>
              <fill>
                <patternFill patternType="solid">
                  <bgColor theme="1"/>
                </patternFill>
              </fill>
            </x14:dxf>
          </x14:cfRule>
          <x14:cfRule type="containsText" priority="45" operator="containsText" id="{CF04A446-8E3F-4828-8583-24F327806A45}">
            <xm:f>NOT(ISERROR(SEARCH($P$3,AZ8)))</xm:f>
            <xm:f>$P$3</xm:f>
            <x14:dxf>
              <font>
                <color theme="0"/>
              </font>
              <fill>
                <patternFill patternType="solid">
                  <bgColor rgb="FFFF0000"/>
                </patternFill>
              </fill>
            </x14:dxf>
          </x14:cfRule>
          <x14:cfRule type="containsText" priority="46" operator="containsText" id="{A1B4CE2C-85F8-48C9-BFAE-E6F2BC1DBA9B}">
            <xm:f>NOT(ISERROR(SEARCH($P$3,AZ8)))</xm:f>
            <xm:f>$P$3</xm:f>
            <x14:dxf>
              <font>
                <color rgb="FFFF0000"/>
              </font>
            </x14:dxf>
          </x14:cfRule>
          <x14:cfRule type="containsText" priority="47" operator="containsText" id="{F283A5C1-961F-46E6-8250-4B3DF0DFB6E6}">
            <xm:f>NOT(ISERROR(SEARCH($H$3,AZ8)))</xm:f>
            <xm:f>$H$3</xm:f>
            <x14:dxf>
              <font>
                <color theme="4" tint="-0.249977111117893"/>
              </font>
            </x14:dxf>
          </x14:cfRule>
          <x14:cfRule type="containsText" priority="48" operator="containsText" id="{6973E3CF-7C5A-4C04-A8DA-CFAE20609946}">
            <xm:f>NOT(ISERROR(SEARCH($L$3,AZ8)))</xm:f>
            <xm:f>$L$3</xm:f>
            <x14:dxf>
              <font>
                <color theme="7" tint="-0.249977111117893"/>
              </font>
            </x14:dxf>
          </x14:cfRule>
          <xm:sqref>AZ8:BF9</xm:sqref>
        </x14:conditionalFormatting>
        <x14:conditionalFormatting xmlns:xm="http://schemas.microsoft.com/office/excel/2006/main">
          <x14:cfRule type="containsText" priority="36" operator="containsText" id="{80FC7C1F-ED29-4A6E-AB9E-C5FCCFF66C34}">
            <xm:f>NOT(ISERROR(SEARCH($U$3,BG8)))</xm:f>
            <xm:f>$U$3</xm:f>
            <x14:dxf>
              <font>
                <color rgb="FFFF0000"/>
              </font>
              <fill>
                <patternFill patternType="solid">
                  <bgColor rgb="FFFFFF00"/>
                </patternFill>
              </fill>
            </x14:dxf>
          </x14:cfRule>
          <x14:cfRule type="containsText" priority="37" operator="containsText" id="{30961025-B922-44A6-B648-38BB5B42032B}">
            <xm:f>NOT(ISERROR(SEARCH($Q$4,BG8)))</xm:f>
            <xm:f>$Q$4</xm:f>
            <x14:dxf>
              <font>
                <color theme="0"/>
              </font>
              <fill>
                <patternFill patternType="solid">
                  <bgColor theme="1"/>
                </patternFill>
              </fill>
            </x14:dxf>
          </x14:cfRule>
          <x14:cfRule type="containsText" priority="38" operator="containsText" id="{0357EDA5-3F03-4F78-8C4C-25D24D3B81C3}">
            <xm:f>NOT(ISERROR(SEARCH($P$3,BG8)))</xm:f>
            <xm:f>$P$3</xm:f>
            <x14:dxf>
              <font>
                <color theme="0"/>
              </font>
              <fill>
                <patternFill patternType="solid">
                  <bgColor rgb="FFFF0000"/>
                </patternFill>
              </fill>
            </x14:dxf>
          </x14:cfRule>
          <x14:cfRule type="containsText" priority="39" operator="containsText" id="{1AB5ED8C-E3B7-4256-9852-81BE653849D8}">
            <xm:f>NOT(ISERROR(SEARCH($P$3,BG8)))</xm:f>
            <xm:f>$P$3</xm:f>
            <x14:dxf>
              <font>
                <color rgb="FFFF0000"/>
              </font>
            </x14:dxf>
          </x14:cfRule>
          <x14:cfRule type="containsText" priority="40" operator="containsText" id="{771772A6-03A3-452B-B8E3-AF8AAF57C1EF}">
            <xm:f>NOT(ISERROR(SEARCH($H$3,BG8)))</xm:f>
            <xm:f>$H$3</xm:f>
            <x14:dxf>
              <font>
                <color theme="4" tint="-0.249977111117893"/>
              </font>
            </x14:dxf>
          </x14:cfRule>
          <x14:cfRule type="containsText" priority="41" operator="containsText" id="{269E46A4-7117-4CFF-B81B-420A2125844B}">
            <xm:f>NOT(ISERROR(SEARCH($L$3,BG8)))</xm:f>
            <xm:f>$L$3</xm:f>
            <x14:dxf>
              <font>
                <color theme="7" tint="-0.249977111117893"/>
              </font>
            </x14:dxf>
          </x14:cfRule>
          <xm:sqref>BG8:BM9</xm:sqref>
        </x14:conditionalFormatting>
        <x14:conditionalFormatting xmlns:xm="http://schemas.microsoft.com/office/excel/2006/main">
          <x14:cfRule type="containsText" priority="29" operator="containsText" id="{E69EB35F-F1B2-4BCF-A237-3365CF64FA90}">
            <xm:f>NOT(ISERROR(SEARCH($U$3,BN8)))</xm:f>
            <xm:f>$U$3</xm:f>
            <x14:dxf>
              <font>
                <color rgb="FFFF0000"/>
              </font>
              <fill>
                <patternFill patternType="solid">
                  <bgColor rgb="FFFFFF00"/>
                </patternFill>
              </fill>
            </x14:dxf>
          </x14:cfRule>
          <x14:cfRule type="containsText" priority="30" operator="containsText" id="{446D37D4-A4F8-4071-8C33-66667DF21FB0}">
            <xm:f>NOT(ISERROR(SEARCH($Q$4,BN8)))</xm:f>
            <xm:f>$Q$4</xm:f>
            <x14:dxf>
              <font>
                <color theme="0"/>
              </font>
              <fill>
                <patternFill patternType="solid">
                  <bgColor theme="1"/>
                </patternFill>
              </fill>
            </x14:dxf>
          </x14:cfRule>
          <x14:cfRule type="containsText" priority="31" operator="containsText" id="{0438CC98-A234-487F-9AEF-DAE4F4CEB0C7}">
            <xm:f>NOT(ISERROR(SEARCH($P$3,BN8)))</xm:f>
            <xm:f>$P$3</xm:f>
            <x14:dxf>
              <font>
                <color theme="0"/>
              </font>
              <fill>
                <patternFill patternType="solid">
                  <bgColor rgb="FFFF0000"/>
                </patternFill>
              </fill>
            </x14:dxf>
          </x14:cfRule>
          <x14:cfRule type="containsText" priority="32" operator="containsText" id="{AB126918-DAB2-4A48-9F56-E00103664237}">
            <xm:f>NOT(ISERROR(SEARCH($P$3,BN8)))</xm:f>
            <xm:f>$P$3</xm:f>
            <x14:dxf>
              <font>
                <color rgb="FFFF0000"/>
              </font>
            </x14:dxf>
          </x14:cfRule>
          <x14:cfRule type="containsText" priority="33" operator="containsText" id="{2CFB9FE8-9D9A-451C-9C7F-2601F393B095}">
            <xm:f>NOT(ISERROR(SEARCH($H$3,BN8)))</xm:f>
            <xm:f>$H$3</xm:f>
            <x14:dxf>
              <font>
                <color theme="4" tint="-0.249977111117893"/>
              </font>
            </x14:dxf>
          </x14:cfRule>
          <x14:cfRule type="containsText" priority="34" operator="containsText" id="{2DF88AEF-D658-4C57-9F70-2465553BCA61}">
            <xm:f>NOT(ISERROR(SEARCH($L$3,BN8)))</xm:f>
            <xm:f>$L$3</xm:f>
            <x14:dxf>
              <font>
                <color theme="7" tint="-0.249977111117893"/>
              </font>
            </x14:dxf>
          </x14:cfRule>
          <xm:sqref>BN8:BS8</xm:sqref>
        </x14:conditionalFormatting>
        <x14:conditionalFormatting xmlns:xm="http://schemas.microsoft.com/office/excel/2006/main">
          <x14:cfRule type="containsText" priority="22" operator="containsText" id="{CD70CB20-50CC-41F4-8B32-71893ECA7CC6}">
            <xm:f>NOT(ISERROR(SEARCH($U$3,BN9)))</xm:f>
            <xm:f>$U$3</xm:f>
            <x14:dxf>
              <font>
                <color rgb="FFFF0000"/>
              </font>
              <fill>
                <patternFill patternType="solid">
                  <bgColor rgb="FFFFFF00"/>
                </patternFill>
              </fill>
            </x14:dxf>
          </x14:cfRule>
          <x14:cfRule type="containsText" priority="23" operator="containsText" id="{0B13991F-9608-49E9-B749-D7B3865D2F00}">
            <xm:f>NOT(ISERROR(SEARCH($Q$4,BN9)))</xm:f>
            <xm:f>$Q$4</xm:f>
            <x14:dxf>
              <font>
                <color theme="0"/>
              </font>
              <fill>
                <patternFill patternType="solid">
                  <bgColor theme="1"/>
                </patternFill>
              </fill>
            </x14:dxf>
          </x14:cfRule>
          <x14:cfRule type="containsText" priority="24" operator="containsText" id="{C6B8C5AF-C59B-47AC-84AF-0FFD2B55D9BC}">
            <xm:f>NOT(ISERROR(SEARCH($P$3,BN9)))</xm:f>
            <xm:f>$P$3</xm:f>
            <x14:dxf>
              <font>
                <color theme="0"/>
              </font>
              <fill>
                <patternFill patternType="solid">
                  <bgColor rgb="FFFF0000"/>
                </patternFill>
              </fill>
            </x14:dxf>
          </x14:cfRule>
          <x14:cfRule type="containsText" priority="25" operator="containsText" id="{22F42D1C-5607-44CC-9F14-84BC2CE505B4}">
            <xm:f>NOT(ISERROR(SEARCH($P$3,BN9)))</xm:f>
            <xm:f>$P$3</xm:f>
            <x14:dxf>
              <font>
                <color rgb="FFFF0000"/>
              </font>
            </x14:dxf>
          </x14:cfRule>
          <x14:cfRule type="containsText" priority="26" operator="containsText" id="{277039E6-D81D-4B0B-A73D-68D4228B99A9}">
            <xm:f>NOT(ISERROR(SEARCH($H$3,BN9)))</xm:f>
            <xm:f>$H$3</xm:f>
            <x14:dxf>
              <font>
                <color theme="4" tint="-0.249977111117893"/>
              </font>
            </x14:dxf>
          </x14:cfRule>
          <x14:cfRule type="containsText" priority="27" operator="containsText" id="{0A54EB27-79F8-4A03-B57F-7AD20BC5D380}">
            <xm:f>NOT(ISERROR(SEARCH($L$3,BN9)))</xm:f>
            <xm:f>$L$3</xm:f>
            <x14:dxf>
              <font>
                <color theme="7" tint="-0.249977111117893"/>
              </font>
            </x14:dxf>
          </x14:cfRule>
          <xm:sqref>BN9:BP9</xm:sqref>
        </x14:conditionalFormatting>
        <x14:conditionalFormatting xmlns:xm="http://schemas.microsoft.com/office/excel/2006/main">
          <x14:cfRule type="containsText" priority="15" operator="containsText" id="{0DCD7F22-1964-4A6A-9FE9-75379758A842}">
            <xm:f>NOT(ISERROR(SEARCH($U$3,BN11)))</xm:f>
            <xm:f>$U$3</xm:f>
            <x14:dxf>
              <font>
                <color rgb="FFFF0000"/>
              </font>
              <fill>
                <patternFill patternType="solid">
                  <bgColor rgb="FFFFFF00"/>
                </patternFill>
              </fill>
            </x14:dxf>
          </x14:cfRule>
          <x14:cfRule type="containsText" priority="16" operator="containsText" id="{72957E68-240A-4D84-9B83-2CFB2E91CBE6}">
            <xm:f>NOT(ISERROR(SEARCH($Q$4,BN11)))</xm:f>
            <xm:f>$Q$4</xm:f>
            <x14:dxf>
              <font>
                <color theme="0"/>
              </font>
              <fill>
                <patternFill patternType="solid">
                  <bgColor theme="1"/>
                </patternFill>
              </fill>
            </x14:dxf>
          </x14:cfRule>
          <x14:cfRule type="containsText" priority="17" operator="containsText" id="{8BC34501-A547-45FD-BB1E-B4B51C4660FE}">
            <xm:f>NOT(ISERROR(SEARCH($P$3,BN11)))</xm:f>
            <xm:f>$P$3</xm:f>
            <x14:dxf>
              <font>
                <color theme="0"/>
              </font>
              <fill>
                <patternFill patternType="solid">
                  <bgColor rgb="FFFF0000"/>
                </patternFill>
              </fill>
            </x14:dxf>
          </x14:cfRule>
          <x14:cfRule type="containsText" priority="18" operator="containsText" id="{550AB4B8-D479-454F-9928-259DEF398DE5}">
            <xm:f>NOT(ISERROR(SEARCH($P$3,BN11)))</xm:f>
            <xm:f>$P$3</xm:f>
            <x14:dxf>
              <font>
                <color rgb="FFFF0000"/>
              </font>
            </x14:dxf>
          </x14:cfRule>
          <x14:cfRule type="containsText" priority="19" operator="containsText" id="{A439D6F0-89AA-43D3-8B1B-36B733DFD9A1}">
            <xm:f>NOT(ISERROR(SEARCH($H$3,BN11)))</xm:f>
            <xm:f>$H$3</xm:f>
            <x14:dxf>
              <font>
                <color theme="4" tint="-0.249977111117893"/>
              </font>
            </x14:dxf>
          </x14:cfRule>
          <x14:cfRule type="containsText" priority="20" operator="containsText" id="{063AD2B2-A738-4229-B035-763F33F10D50}">
            <xm:f>NOT(ISERROR(SEARCH($L$3,BN11)))</xm:f>
            <xm:f>$L$3</xm:f>
            <x14:dxf>
              <font>
                <color theme="7" tint="-0.249977111117893"/>
              </font>
            </x14:dxf>
          </x14:cfRule>
          <xm:sqref>BN11:BS11</xm:sqref>
        </x14:conditionalFormatting>
        <x14:conditionalFormatting xmlns:xm="http://schemas.microsoft.com/office/excel/2006/main">
          <x14:cfRule type="containsText" priority="8" operator="containsText" id="{329610AD-522B-4E6D-B172-9DD3253E6CDA}">
            <xm:f>NOT(ISERROR(SEARCH($U$3,BN12)))</xm:f>
            <xm:f>$U$3</xm:f>
            <x14:dxf>
              <font>
                <color rgb="FFFF0000"/>
              </font>
              <fill>
                <patternFill patternType="solid">
                  <bgColor rgb="FFFFFF00"/>
                </patternFill>
              </fill>
            </x14:dxf>
          </x14:cfRule>
          <x14:cfRule type="containsText" priority="9" operator="containsText" id="{B8753840-CF2A-4308-B9E1-6FA0FEC1542B}">
            <xm:f>NOT(ISERROR(SEARCH($Q$4,BN12)))</xm:f>
            <xm:f>$Q$4</xm:f>
            <x14:dxf>
              <font>
                <color theme="0"/>
              </font>
              <fill>
                <patternFill patternType="solid">
                  <bgColor theme="1"/>
                </patternFill>
              </fill>
            </x14:dxf>
          </x14:cfRule>
          <x14:cfRule type="containsText" priority="10" operator="containsText" id="{6B200BF8-0402-4C44-8FD8-C244071CBCD4}">
            <xm:f>NOT(ISERROR(SEARCH($P$3,BN12)))</xm:f>
            <xm:f>$P$3</xm:f>
            <x14:dxf>
              <font>
                <color theme="0"/>
              </font>
              <fill>
                <patternFill patternType="solid">
                  <bgColor rgb="FFFF0000"/>
                </patternFill>
              </fill>
            </x14:dxf>
          </x14:cfRule>
          <x14:cfRule type="containsText" priority="11" operator="containsText" id="{285814F0-952E-41BB-8A6F-ECE43425B40E}">
            <xm:f>NOT(ISERROR(SEARCH($P$3,BN12)))</xm:f>
            <xm:f>$P$3</xm:f>
            <x14:dxf>
              <font>
                <color rgb="FFFF0000"/>
              </font>
            </x14:dxf>
          </x14:cfRule>
          <x14:cfRule type="containsText" priority="12" operator="containsText" id="{02DCE9E3-3898-44DD-AF84-4C396522091D}">
            <xm:f>NOT(ISERROR(SEARCH($H$3,BN12)))</xm:f>
            <xm:f>$H$3</xm:f>
            <x14:dxf>
              <font>
                <color theme="4" tint="-0.249977111117893"/>
              </font>
            </x14:dxf>
          </x14:cfRule>
          <x14:cfRule type="containsText" priority="13" operator="containsText" id="{FDB74F25-E9DA-4B0B-A646-F9D3BC7444CF}">
            <xm:f>NOT(ISERROR(SEARCH($L$3,BN12)))</xm:f>
            <xm:f>$L$3</xm:f>
            <x14:dxf>
              <font>
                <color theme="7" tint="-0.249977111117893"/>
              </font>
            </x14:dxf>
          </x14:cfRule>
          <xm:sqref>BN12:BS12</xm:sqref>
        </x14:conditionalFormatting>
        <x14:conditionalFormatting xmlns:xm="http://schemas.microsoft.com/office/excel/2006/main">
          <x14:cfRule type="containsText" priority="1" operator="containsText" id="{CC8B1767-9264-4C52-90A9-657FA182EDC8}">
            <xm:f>NOT(ISERROR(SEARCH($U$3,BN13)))</xm:f>
            <xm:f>$U$3</xm:f>
            <x14:dxf>
              <font>
                <color rgb="FFFF0000"/>
              </font>
              <fill>
                <patternFill patternType="solid">
                  <bgColor rgb="FFFFFF00"/>
                </patternFill>
              </fill>
            </x14:dxf>
          </x14:cfRule>
          <x14:cfRule type="containsText" priority="2" operator="containsText" id="{145F97E2-C703-4663-B2C1-C89076B6FDEA}">
            <xm:f>NOT(ISERROR(SEARCH($Q$4,BN13)))</xm:f>
            <xm:f>$Q$4</xm:f>
            <x14:dxf>
              <font>
                <color theme="0"/>
              </font>
              <fill>
                <patternFill patternType="solid">
                  <bgColor theme="1"/>
                </patternFill>
              </fill>
            </x14:dxf>
          </x14:cfRule>
          <x14:cfRule type="containsText" priority="3" operator="containsText" id="{BD9F47DF-1E72-4DBE-A64B-059EF2206C37}">
            <xm:f>NOT(ISERROR(SEARCH($P$3,BN13)))</xm:f>
            <xm:f>$P$3</xm:f>
            <x14:dxf>
              <font>
                <color theme="0"/>
              </font>
              <fill>
                <patternFill patternType="solid">
                  <bgColor rgb="FFFF0000"/>
                </patternFill>
              </fill>
            </x14:dxf>
          </x14:cfRule>
          <x14:cfRule type="containsText" priority="4" operator="containsText" id="{B15E3333-D257-4C6A-AC7E-63790767A06E}">
            <xm:f>NOT(ISERROR(SEARCH($P$3,BN13)))</xm:f>
            <xm:f>$P$3</xm:f>
            <x14:dxf>
              <font>
                <color rgb="FFFF0000"/>
              </font>
            </x14:dxf>
          </x14:cfRule>
          <x14:cfRule type="containsText" priority="5" operator="containsText" id="{0A8C6321-238F-46D6-8673-893EEFB96276}">
            <xm:f>NOT(ISERROR(SEARCH($H$3,BN13)))</xm:f>
            <xm:f>$H$3</xm:f>
            <x14:dxf>
              <font>
                <color theme="4" tint="-0.249977111117893"/>
              </font>
            </x14:dxf>
          </x14:cfRule>
          <x14:cfRule type="containsText" priority="6" operator="containsText" id="{4CA7A940-F7DD-430E-9E9F-3A95E37C0742}">
            <xm:f>NOT(ISERROR(SEARCH($L$3,BN13)))</xm:f>
            <xm:f>$L$3</xm:f>
            <x14:dxf>
              <font>
                <color theme="7" tint="-0.249977111117893"/>
              </font>
            </x14:dxf>
          </x14:cfRule>
          <xm:sqref>BN13:BS13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7A64A-6046-8645-9194-F734ADA9A0D9}">
  <dimension ref="A1"/>
  <sheetViews>
    <sheetView zoomScaleNormal="100" zoomScaleSheetLayoutView="100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2026-08-15T03:22:10Z</dcterms:created>
  <dcterms:modified xsi:type="dcterms:W3CDTF">2026-09-23T06:08:00Z</dcterms:modified>
  <cp:category/>
  <cp:contentStatus/>
</cp:coreProperties>
</file>