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f41ddf8a805e1b/MASTER DATA DIGIMAP RAHMAN/"/>
    </mc:Choice>
  </mc:AlternateContent>
  <xr:revisionPtr revIDLastSave="3027" documentId="11_E60897F41BE170836B02CE998F75CCDC64E183C8" xr6:coauthVersionLast="47" xr6:coauthVersionMax="47" xr10:uidLastSave="{A6A49461-C2B5-4256-93AF-198D78607590}"/>
  <bookViews>
    <workbookView minimized="1" xWindow="3560" yWindow="1870" windowWidth="9640" windowHeight="8550" firstSheet="1" activeTab="1" xr2:uid="{00000000-000D-0000-FFFF-FFFF00000000}"/>
  </bookViews>
  <sheets>
    <sheet name="REKAP PERFORMANCE" sheetId="1" r:id="rId1"/>
    <sheet name="R DATA BNPL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8" i="2" l="1"/>
  <c r="I219" i="2"/>
  <c r="I220" i="2"/>
  <c r="I221" i="2"/>
  <c r="I222" i="2"/>
  <c r="I223" i="2"/>
  <c r="I224" i="2"/>
  <c r="I225" i="2"/>
  <c r="I214" i="2"/>
  <c r="I215" i="2"/>
  <c r="I216" i="2"/>
  <c r="I217" i="2"/>
  <c r="I213" i="2"/>
  <c r="I210" i="2"/>
  <c r="I211" i="2"/>
  <c r="I212" i="2"/>
  <c r="I209" i="2"/>
  <c r="I203" i="2"/>
  <c r="I204" i="2"/>
  <c r="I205" i="2"/>
  <c r="I206" i="2"/>
  <c r="I207" i="2"/>
  <c r="I208" i="2"/>
  <c r="I201" i="2"/>
  <c r="I202" i="2"/>
  <c r="I199" i="2"/>
  <c r="I200" i="2"/>
  <c r="I195" i="2"/>
  <c r="I196" i="2"/>
  <c r="I197" i="2"/>
  <c r="I198" i="2"/>
  <c r="I191" i="2"/>
  <c r="I192" i="2"/>
  <c r="I193" i="2"/>
  <c r="I194" i="2"/>
  <c r="I184" i="2"/>
  <c r="I185" i="2"/>
  <c r="I186" i="2"/>
  <c r="I187" i="2"/>
  <c r="I188" i="2"/>
  <c r="I189" i="2"/>
  <c r="I190" i="2"/>
  <c r="I177" i="2"/>
  <c r="I178" i="2"/>
  <c r="I179" i="2"/>
  <c r="I180" i="2"/>
  <c r="I181" i="2"/>
  <c r="I182" i="2"/>
  <c r="I183" i="2"/>
  <c r="I176" i="2"/>
  <c r="I174" i="2"/>
  <c r="I175" i="2"/>
  <c r="I173" i="2"/>
  <c r="I172" i="2"/>
  <c r="I171" i="2"/>
  <c r="I169" i="2"/>
  <c r="I170" i="2"/>
  <c r="I167" i="2"/>
  <c r="I168" i="2"/>
  <c r="I164" i="2"/>
  <c r="I165" i="2"/>
  <c r="I166" i="2"/>
  <c r="I163" i="2"/>
  <c r="I159" i="2"/>
  <c r="I160" i="2"/>
  <c r="I161" i="2"/>
  <c r="I162" i="2"/>
  <c r="I158" i="2"/>
  <c r="I157" i="2"/>
  <c r="I156" i="2"/>
  <c r="I153" i="2"/>
  <c r="I154" i="2"/>
  <c r="I155" i="2"/>
  <c r="I152" i="2"/>
  <c r="I124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AM5" i="1"/>
  <c r="AM6" i="1"/>
  <c r="AL5" i="1"/>
  <c r="A1" i="1"/>
  <c r="AO6" i="1"/>
  <c r="AP6" i="1"/>
  <c r="AQ6" i="1"/>
  <c r="AR6" i="1"/>
  <c r="AS6" i="1"/>
  <c r="AT6" i="1"/>
  <c r="AU6" i="1"/>
  <c r="AV6" i="1"/>
  <c r="AW6" i="1"/>
  <c r="AN6" i="1"/>
  <c r="B7" i="1"/>
  <c r="A7" i="1"/>
  <c r="B8" i="1"/>
  <c r="AD7" i="1"/>
  <c r="A8" i="1"/>
  <c r="D8" i="1"/>
  <c r="F8" i="1"/>
  <c r="H8" i="1"/>
  <c r="L8" i="1"/>
  <c r="N8" i="1"/>
  <c r="R8" i="1"/>
  <c r="T8" i="1"/>
  <c r="X8" i="1"/>
  <c r="Z8" i="1"/>
  <c r="AD8" i="1"/>
  <c r="AH8" i="1"/>
  <c r="AI8" i="1"/>
  <c r="AJ8" i="1"/>
  <c r="AJ7" i="1"/>
  <c r="AI7" i="1"/>
  <c r="AH7" i="1"/>
  <c r="Z7" i="1"/>
  <c r="X7" i="1"/>
  <c r="AB7" i="1" s="1"/>
  <c r="T7" i="1"/>
  <c r="R7" i="1"/>
  <c r="N7" i="1"/>
  <c r="L7" i="1"/>
  <c r="H7" i="1"/>
  <c r="F7" i="1"/>
  <c r="D7" i="1"/>
  <c r="J7" i="1" s="1"/>
  <c r="A6" i="1"/>
  <c r="B9" i="1"/>
  <c r="P7" i="1"/>
  <c r="V7" i="1"/>
  <c r="V8" i="1"/>
  <c r="P8" i="1"/>
  <c r="F9" i="1"/>
  <c r="D9" i="1"/>
  <c r="H9" i="1"/>
  <c r="L9" i="1"/>
  <c r="N9" i="1"/>
  <c r="R9" i="1"/>
  <c r="T9" i="1"/>
  <c r="V9" i="1" s="1"/>
  <c r="X9" i="1"/>
  <c r="Z9" i="1"/>
  <c r="AD9" i="1"/>
  <c r="AH9" i="1"/>
  <c r="AI9" i="1"/>
  <c r="AJ9" i="1"/>
  <c r="A9" i="1"/>
  <c r="B10" i="1"/>
  <c r="AB9" i="1"/>
  <c r="P9" i="1"/>
  <c r="J9" i="1"/>
  <c r="D10" i="1"/>
  <c r="F10" i="1"/>
  <c r="H10" i="1"/>
  <c r="L10" i="1"/>
  <c r="N10" i="1"/>
  <c r="R10" i="1"/>
  <c r="T10" i="1"/>
  <c r="X10" i="1"/>
  <c r="Z10" i="1"/>
  <c r="AD10" i="1"/>
  <c r="AH10" i="1"/>
  <c r="AI10" i="1"/>
  <c r="AJ10" i="1"/>
  <c r="A10" i="1"/>
  <c r="B11" i="1"/>
  <c r="AB10" i="1"/>
  <c r="V10" i="1"/>
  <c r="P10" i="1"/>
  <c r="J10" i="1"/>
  <c r="D11" i="1"/>
  <c r="F11" i="1"/>
  <c r="H11" i="1"/>
  <c r="L11" i="1"/>
  <c r="N11" i="1"/>
  <c r="R11" i="1"/>
  <c r="T11" i="1"/>
  <c r="X11" i="1"/>
  <c r="Z11" i="1"/>
  <c r="AD11" i="1"/>
  <c r="AH11" i="1"/>
  <c r="AI11" i="1"/>
  <c r="AJ11" i="1"/>
  <c r="A11" i="1"/>
  <c r="B12" i="1"/>
  <c r="AB11" i="1"/>
  <c r="V11" i="1"/>
  <c r="P11" i="1"/>
  <c r="J11" i="1"/>
  <c r="D12" i="1"/>
  <c r="F12" i="1"/>
  <c r="H12" i="1"/>
  <c r="L12" i="1"/>
  <c r="N12" i="1"/>
  <c r="R12" i="1"/>
  <c r="T12" i="1"/>
  <c r="X12" i="1"/>
  <c r="Z12" i="1"/>
  <c r="AD12" i="1"/>
  <c r="AH12" i="1"/>
  <c r="AI12" i="1"/>
  <c r="AJ12" i="1"/>
  <c r="A12" i="1"/>
  <c r="B13" i="1"/>
  <c r="AB12" i="1"/>
  <c r="V12" i="1"/>
  <c r="P12" i="1"/>
  <c r="J12" i="1"/>
  <c r="D13" i="1"/>
  <c r="F13" i="1"/>
  <c r="H13" i="1"/>
  <c r="L13" i="1"/>
  <c r="N13" i="1"/>
  <c r="R13" i="1"/>
  <c r="T13" i="1"/>
  <c r="X13" i="1"/>
  <c r="Z13" i="1"/>
  <c r="AD13" i="1"/>
  <c r="AH13" i="1"/>
  <c r="AI13" i="1"/>
  <c r="AJ13" i="1"/>
  <c r="B14" i="1"/>
  <c r="A13" i="1"/>
  <c r="AB13" i="1"/>
  <c r="V13" i="1"/>
  <c r="P13" i="1"/>
  <c r="J13" i="1"/>
  <c r="D14" i="1"/>
  <c r="F14" i="1"/>
  <c r="H14" i="1"/>
  <c r="L14" i="1"/>
  <c r="N14" i="1"/>
  <c r="R14" i="1"/>
  <c r="T14" i="1"/>
  <c r="X14" i="1"/>
  <c r="Z14" i="1"/>
  <c r="AD14" i="1"/>
  <c r="AH14" i="1"/>
  <c r="AI14" i="1"/>
  <c r="AJ14" i="1"/>
  <c r="A14" i="1"/>
  <c r="B15" i="1"/>
  <c r="AB14" i="1"/>
  <c r="V14" i="1"/>
  <c r="P14" i="1"/>
  <c r="J14" i="1"/>
  <c r="F15" i="1"/>
  <c r="D15" i="1"/>
  <c r="H15" i="1"/>
  <c r="L15" i="1"/>
  <c r="N15" i="1"/>
  <c r="R15" i="1"/>
  <c r="T15" i="1"/>
  <c r="X15" i="1"/>
  <c r="Z15" i="1"/>
  <c r="AD15" i="1"/>
  <c r="AH15" i="1"/>
  <c r="AI15" i="1"/>
  <c r="AJ15" i="1"/>
  <c r="A15" i="1"/>
  <c r="B16" i="1"/>
  <c r="AB15" i="1"/>
  <c r="V15" i="1"/>
  <c r="P15" i="1"/>
  <c r="J15" i="1"/>
  <c r="D16" i="1"/>
  <c r="F16" i="1"/>
  <c r="H16" i="1"/>
  <c r="L16" i="1"/>
  <c r="N16" i="1"/>
  <c r="R16" i="1"/>
  <c r="T16" i="1"/>
  <c r="X16" i="1"/>
  <c r="Z16" i="1"/>
  <c r="AD16" i="1"/>
  <c r="AH16" i="1"/>
  <c r="AI16" i="1"/>
  <c r="AJ16" i="1"/>
  <c r="A16" i="1"/>
  <c r="B17" i="1"/>
  <c r="AB16" i="1"/>
  <c r="V16" i="1"/>
  <c r="P16" i="1"/>
  <c r="J16" i="1"/>
  <c r="D17" i="1"/>
  <c r="F17" i="1"/>
  <c r="H17" i="1"/>
  <c r="L17" i="1"/>
  <c r="N17" i="1"/>
  <c r="R17" i="1"/>
  <c r="T17" i="1"/>
  <c r="X17" i="1"/>
  <c r="Z17" i="1"/>
  <c r="AD17" i="1"/>
  <c r="AH17" i="1"/>
  <c r="AI17" i="1"/>
  <c r="AJ17" i="1"/>
  <c r="B18" i="1"/>
  <c r="A17" i="1"/>
  <c r="AB17" i="1"/>
  <c r="V17" i="1"/>
  <c r="P17" i="1"/>
  <c r="J17" i="1"/>
  <c r="D18" i="1"/>
  <c r="F18" i="1"/>
  <c r="H18" i="1"/>
  <c r="L18" i="1"/>
  <c r="N18" i="1"/>
  <c r="R18" i="1"/>
  <c r="T18" i="1"/>
  <c r="X18" i="1"/>
  <c r="Z18" i="1"/>
  <c r="AD18" i="1"/>
  <c r="AH18" i="1"/>
  <c r="AI18" i="1"/>
  <c r="AJ18" i="1"/>
  <c r="A18" i="1"/>
  <c r="B19" i="1"/>
  <c r="AB18" i="1"/>
  <c r="V18" i="1"/>
  <c r="P18" i="1"/>
  <c r="J18" i="1"/>
  <c r="D19" i="1"/>
  <c r="F19" i="1"/>
  <c r="H19" i="1"/>
  <c r="L19" i="1"/>
  <c r="N19" i="1"/>
  <c r="R19" i="1"/>
  <c r="T19" i="1"/>
  <c r="X19" i="1"/>
  <c r="Z19" i="1"/>
  <c r="AD19" i="1"/>
  <c r="AH19" i="1"/>
  <c r="AI19" i="1"/>
  <c r="AJ19" i="1"/>
  <c r="B20" i="1"/>
  <c r="A19" i="1"/>
  <c r="AB19" i="1"/>
  <c r="V19" i="1"/>
  <c r="P19" i="1"/>
  <c r="J19" i="1"/>
  <c r="D20" i="1"/>
  <c r="F20" i="1"/>
  <c r="H20" i="1"/>
  <c r="L20" i="1"/>
  <c r="N20" i="1"/>
  <c r="R20" i="1"/>
  <c r="T20" i="1"/>
  <c r="X20" i="1"/>
  <c r="Z20" i="1"/>
  <c r="AD20" i="1"/>
  <c r="AH20" i="1"/>
  <c r="AI20" i="1"/>
  <c r="AJ20" i="1"/>
  <c r="A20" i="1"/>
  <c r="B21" i="1"/>
  <c r="AB20" i="1"/>
  <c r="V20" i="1"/>
  <c r="P20" i="1"/>
  <c r="J20" i="1"/>
  <c r="D21" i="1"/>
  <c r="F21" i="1"/>
  <c r="H21" i="1"/>
  <c r="L21" i="1"/>
  <c r="N21" i="1"/>
  <c r="R21" i="1"/>
  <c r="T21" i="1"/>
  <c r="X21" i="1"/>
  <c r="Z21" i="1"/>
  <c r="AD21" i="1"/>
  <c r="AH21" i="1"/>
  <c r="AI21" i="1"/>
  <c r="AJ21" i="1"/>
  <c r="A21" i="1"/>
  <c r="B22" i="1"/>
  <c r="AB21" i="1"/>
  <c r="V21" i="1"/>
  <c r="P21" i="1"/>
  <c r="J21" i="1"/>
  <c r="D22" i="1"/>
  <c r="F22" i="1"/>
  <c r="H22" i="1"/>
  <c r="L22" i="1"/>
  <c r="N22" i="1"/>
  <c r="R22" i="1"/>
  <c r="T22" i="1"/>
  <c r="X22" i="1"/>
  <c r="Z22" i="1"/>
  <c r="AD22" i="1"/>
  <c r="AH22" i="1"/>
  <c r="AI22" i="1"/>
  <c r="AJ22" i="1"/>
  <c r="A22" i="1"/>
  <c r="B23" i="1"/>
  <c r="AB22" i="1"/>
  <c r="V22" i="1"/>
  <c r="P22" i="1"/>
  <c r="J22" i="1"/>
  <c r="D23" i="1"/>
  <c r="F23" i="1"/>
  <c r="H23" i="1"/>
  <c r="L23" i="1"/>
  <c r="N23" i="1"/>
  <c r="R23" i="1"/>
  <c r="T23" i="1"/>
  <c r="X23" i="1"/>
  <c r="Z23" i="1"/>
  <c r="AD23" i="1"/>
  <c r="AH23" i="1"/>
  <c r="AI23" i="1"/>
  <c r="AJ23" i="1"/>
  <c r="A23" i="1"/>
  <c r="B24" i="1"/>
  <c r="AB23" i="1"/>
  <c r="V23" i="1"/>
  <c r="P23" i="1"/>
  <c r="D24" i="1"/>
  <c r="F24" i="1"/>
  <c r="H24" i="1"/>
  <c r="L24" i="1"/>
  <c r="N24" i="1"/>
  <c r="R24" i="1"/>
  <c r="T24" i="1"/>
  <c r="X24" i="1"/>
  <c r="Z24" i="1"/>
  <c r="AD24" i="1"/>
  <c r="AH24" i="1"/>
  <c r="AI24" i="1"/>
  <c r="AJ24" i="1"/>
  <c r="A24" i="1"/>
  <c r="B25" i="1"/>
  <c r="D25" i="1" s="1"/>
  <c r="AB24" i="1"/>
  <c r="P24" i="1"/>
  <c r="J24" i="1"/>
  <c r="F25" i="1"/>
  <c r="H25" i="1"/>
  <c r="L25" i="1"/>
  <c r="N25" i="1"/>
  <c r="R25" i="1"/>
  <c r="T25" i="1"/>
  <c r="X25" i="1"/>
  <c r="Z25" i="1"/>
  <c r="AD25" i="1"/>
  <c r="AH25" i="1"/>
  <c r="AI25" i="1"/>
  <c r="AJ25" i="1"/>
  <c r="A25" i="1"/>
  <c r="B26" i="1"/>
  <c r="D26" i="1" s="1"/>
  <c r="V25" i="1"/>
  <c r="P25" i="1"/>
  <c r="F26" i="1"/>
  <c r="H26" i="1"/>
  <c r="L26" i="1"/>
  <c r="N26" i="1"/>
  <c r="P26" i="1" s="1"/>
  <c r="R26" i="1"/>
  <c r="T26" i="1"/>
  <c r="X26" i="1"/>
  <c r="Z26" i="1"/>
  <c r="AD26" i="1"/>
  <c r="AH26" i="1"/>
  <c r="AI26" i="1"/>
  <c r="AJ26" i="1"/>
  <c r="A26" i="1"/>
  <c r="B27" i="1"/>
  <c r="D27" i="1" s="1"/>
  <c r="V26" i="1"/>
  <c r="F27" i="1"/>
  <c r="H27" i="1"/>
  <c r="L27" i="1"/>
  <c r="N27" i="1"/>
  <c r="R27" i="1"/>
  <c r="T27" i="1"/>
  <c r="X27" i="1"/>
  <c r="Z27" i="1"/>
  <c r="AD27" i="1"/>
  <c r="AH27" i="1"/>
  <c r="AI27" i="1"/>
  <c r="AJ27" i="1"/>
  <c r="B28" i="1"/>
  <c r="A27" i="1"/>
  <c r="P27" i="1"/>
  <c r="D28" i="1"/>
  <c r="F28" i="1"/>
  <c r="H28" i="1"/>
  <c r="L28" i="1"/>
  <c r="N28" i="1"/>
  <c r="R28" i="1"/>
  <c r="T28" i="1"/>
  <c r="X28" i="1"/>
  <c r="Z28" i="1"/>
  <c r="AD28" i="1"/>
  <c r="AH28" i="1"/>
  <c r="AI28" i="1"/>
  <c r="AJ28" i="1"/>
  <c r="A28" i="1"/>
  <c r="B29" i="1"/>
  <c r="V28" i="1"/>
  <c r="P28" i="1"/>
  <c r="J28" i="1"/>
  <c r="D29" i="1"/>
  <c r="F29" i="1"/>
  <c r="H29" i="1"/>
  <c r="L29" i="1"/>
  <c r="N29" i="1"/>
  <c r="R29" i="1"/>
  <c r="T29" i="1"/>
  <c r="X29" i="1"/>
  <c r="Z29" i="1"/>
  <c r="AD29" i="1"/>
  <c r="AH29" i="1"/>
  <c r="AI29" i="1"/>
  <c r="AJ29" i="1"/>
  <c r="A29" i="1"/>
  <c r="B30" i="1"/>
  <c r="P29" i="1"/>
  <c r="J29" i="1"/>
  <c r="D30" i="1"/>
  <c r="F30" i="1"/>
  <c r="H30" i="1"/>
  <c r="L30" i="1"/>
  <c r="N30" i="1"/>
  <c r="R30" i="1"/>
  <c r="T30" i="1"/>
  <c r="X30" i="1"/>
  <c r="Z30" i="1"/>
  <c r="AD30" i="1"/>
  <c r="AH30" i="1"/>
  <c r="AI30" i="1"/>
  <c r="AJ30" i="1"/>
  <c r="B31" i="1"/>
  <c r="D31" i="1" s="1"/>
  <c r="A30" i="1"/>
  <c r="V30" i="1"/>
  <c r="P30" i="1"/>
  <c r="J30" i="1"/>
  <c r="F31" i="1"/>
  <c r="H31" i="1"/>
  <c r="L31" i="1"/>
  <c r="N31" i="1"/>
  <c r="R31" i="1"/>
  <c r="T31" i="1"/>
  <c r="X31" i="1"/>
  <c r="Z31" i="1"/>
  <c r="AD31" i="1"/>
  <c r="AH31" i="1"/>
  <c r="AI31" i="1"/>
  <c r="AJ31" i="1"/>
  <c r="A31" i="1"/>
  <c r="B32" i="1"/>
  <c r="V31" i="1"/>
  <c r="P31" i="1"/>
  <c r="D32" i="1"/>
  <c r="F32" i="1"/>
  <c r="H32" i="1"/>
  <c r="L32" i="1"/>
  <c r="N32" i="1"/>
  <c r="R32" i="1"/>
  <c r="T32" i="1"/>
  <c r="X32" i="1"/>
  <c r="Z32" i="1"/>
  <c r="AD32" i="1"/>
  <c r="AH32" i="1"/>
  <c r="AI32" i="1"/>
  <c r="AJ32" i="1"/>
  <c r="A32" i="1"/>
  <c r="B33" i="1"/>
  <c r="V32" i="1"/>
  <c r="P32" i="1"/>
  <c r="J32" i="1"/>
  <c r="D33" i="1"/>
  <c r="F33" i="1"/>
  <c r="H33" i="1"/>
  <c r="L33" i="1"/>
  <c r="N33" i="1"/>
  <c r="R33" i="1"/>
  <c r="T33" i="1"/>
  <c r="X33" i="1"/>
  <c r="Z33" i="1"/>
  <c r="AD33" i="1"/>
  <c r="AH33" i="1"/>
  <c r="AI33" i="1"/>
  <c r="AJ33" i="1"/>
  <c r="B34" i="1"/>
  <c r="A33" i="1"/>
  <c r="P33" i="1"/>
  <c r="J33" i="1"/>
  <c r="D34" i="1"/>
  <c r="F34" i="1"/>
  <c r="H34" i="1"/>
  <c r="L34" i="1"/>
  <c r="N34" i="1"/>
  <c r="P34" i="1" s="1"/>
  <c r="R34" i="1"/>
  <c r="T34" i="1"/>
  <c r="X34" i="1"/>
  <c r="Z34" i="1"/>
  <c r="AD34" i="1"/>
  <c r="AH34" i="1"/>
  <c r="AI34" i="1"/>
  <c r="AJ34" i="1"/>
  <c r="A34" i="1"/>
  <c r="B35" i="1"/>
  <c r="V34" i="1"/>
  <c r="D35" i="1"/>
  <c r="F35" i="1"/>
  <c r="H35" i="1"/>
  <c r="L35" i="1"/>
  <c r="N35" i="1"/>
  <c r="R35" i="1"/>
  <c r="T35" i="1"/>
  <c r="X35" i="1"/>
  <c r="Z35" i="1"/>
  <c r="AD35" i="1"/>
  <c r="AH35" i="1"/>
  <c r="AI35" i="1"/>
  <c r="AJ35" i="1"/>
  <c r="B36" i="1"/>
  <c r="A35" i="1"/>
  <c r="P35" i="1"/>
  <c r="J35" i="1"/>
  <c r="D36" i="1"/>
  <c r="F36" i="1"/>
  <c r="H36" i="1"/>
  <c r="J36" i="1" s="1"/>
  <c r="L36" i="1"/>
  <c r="N36" i="1"/>
  <c r="R36" i="1"/>
  <c r="T36" i="1"/>
  <c r="X36" i="1"/>
  <c r="Z36" i="1"/>
  <c r="AD36" i="1"/>
  <c r="AH36" i="1"/>
  <c r="AI36" i="1"/>
  <c r="AJ36" i="1"/>
  <c r="A36" i="1"/>
  <c r="B37" i="1"/>
  <c r="P36" i="1"/>
  <c r="D37" i="1"/>
  <c r="F37" i="1"/>
  <c r="H37" i="1"/>
  <c r="L37" i="1"/>
  <c r="N37" i="1"/>
  <c r="R37" i="1"/>
  <c r="T37" i="1"/>
  <c r="X37" i="1"/>
  <c r="Z37" i="1"/>
  <c r="AD37" i="1"/>
  <c r="AH37" i="1"/>
  <c r="AI37" i="1"/>
  <c r="AJ37" i="1"/>
  <c r="AJ5" i="1"/>
  <c r="AI5" i="1"/>
  <c r="AH5" i="1"/>
  <c r="AD5" i="1"/>
  <c r="AW9" i="1" s="1"/>
  <c r="Z5" i="1"/>
  <c r="AV9" i="1" s="1"/>
  <c r="X5" i="1"/>
  <c r="AU9" i="1" s="1"/>
  <c r="T5" i="1"/>
  <c r="AT9" i="1" s="1"/>
  <c r="R5" i="1"/>
  <c r="AS9" i="1" s="1"/>
  <c r="N5" i="1"/>
  <c r="AR9" i="1" s="1"/>
  <c r="L5" i="1"/>
  <c r="AQ9" i="1" s="1"/>
  <c r="H5" i="1"/>
  <c r="AP9" i="1" s="1"/>
  <c r="F5" i="1"/>
  <c r="AO9" i="1" s="1"/>
  <c r="A37" i="1"/>
  <c r="B38" i="1"/>
  <c r="AB37" i="1"/>
  <c r="V37" i="1"/>
  <c r="P37" i="1"/>
  <c r="J37" i="1"/>
  <c r="A38" i="1"/>
  <c r="J23" i="1" l="1"/>
  <c r="V24" i="1"/>
  <c r="AB25" i="1"/>
  <c r="AB26" i="1"/>
  <c r="V27" i="1"/>
  <c r="AB27" i="1"/>
  <c r="V29" i="1"/>
  <c r="J8" i="1"/>
  <c r="AB8" i="1"/>
  <c r="AS13" i="1"/>
  <c r="J26" i="1"/>
  <c r="AB29" i="1"/>
  <c r="V35" i="1"/>
  <c r="P38" i="1"/>
  <c r="AB31" i="1"/>
  <c r="J34" i="1"/>
  <c r="AB35" i="1"/>
  <c r="V36" i="1"/>
  <c r="J27" i="1"/>
  <c r="AB36" i="1"/>
  <c r="V33" i="1"/>
  <c r="AB34" i="1"/>
  <c r="AB28" i="1"/>
  <c r="AB30" i="1"/>
  <c r="J31" i="1"/>
  <c r="AB32" i="1"/>
  <c r="AB33" i="1"/>
  <c r="D5" i="1"/>
  <c r="AN9" i="1" s="1"/>
  <c r="J25" i="1"/>
  <c r="J38" i="1" s="1"/>
  <c r="AW13" i="1"/>
  <c r="AW12" i="1" s="1"/>
  <c r="AU13" i="1"/>
  <c r="AU12" i="1" s="1"/>
  <c r="AQ13" i="1"/>
  <c r="AN20" i="1"/>
  <c r="AN21" i="1"/>
  <c r="AN22" i="1"/>
  <c r="AN23" i="1"/>
  <c r="AN24" i="1"/>
  <c r="AN25" i="1"/>
  <c r="AN19" i="1"/>
  <c r="AO19" i="1"/>
  <c r="AO21" i="1"/>
  <c r="AO20" i="1"/>
  <c r="AO22" i="1"/>
  <c r="AO23" i="1"/>
  <c r="AO24" i="1"/>
  <c r="AO25" i="1"/>
  <c r="AP19" i="1"/>
  <c r="AP20" i="1"/>
  <c r="AP21" i="1"/>
  <c r="AP22" i="1"/>
  <c r="AP23" i="1"/>
  <c r="AP24" i="1"/>
  <c r="AP25" i="1"/>
  <c r="AM19" i="1"/>
  <c r="AM20" i="1"/>
  <c r="AM21" i="1"/>
  <c r="AM22" i="1"/>
  <c r="AM23" i="1"/>
  <c r="AM24" i="1"/>
  <c r="AM25" i="1"/>
  <c r="AW7" i="1"/>
  <c r="AU7" i="1"/>
  <c r="AS7" i="1"/>
  <c r="AQ7" i="1"/>
  <c r="AN7" i="1"/>
  <c r="AE37" i="1"/>
  <c r="AA37" i="1"/>
  <c r="Y37" i="1"/>
  <c r="U37" i="1"/>
  <c r="S37" i="1"/>
  <c r="O37" i="1"/>
  <c r="M37" i="1"/>
  <c r="I37" i="1"/>
  <c r="G37" i="1"/>
  <c r="E37" i="1"/>
  <c r="AE36" i="1"/>
  <c r="AA36" i="1"/>
  <c r="Y36" i="1"/>
  <c r="AC36" i="1" s="1"/>
  <c r="U36" i="1"/>
  <c r="S36" i="1"/>
  <c r="O36" i="1"/>
  <c r="M36" i="1"/>
  <c r="Q36" i="1" s="1"/>
  <c r="I36" i="1"/>
  <c r="G36" i="1"/>
  <c r="E36" i="1"/>
  <c r="K36" i="1" s="1"/>
  <c r="AE35" i="1"/>
  <c r="AA35" i="1"/>
  <c r="Y35" i="1"/>
  <c r="AC35" i="1" s="1"/>
  <c r="U35" i="1"/>
  <c r="S35" i="1"/>
  <c r="W35" i="1" s="1"/>
  <c r="O35" i="1"/>
  <c r="M35" i="1"/>
  <c r="Q35" i="1" s="1"/>
  <c r="I35" i="1"/>
  <c r="G35" i="1"/>
  <c r="E35" i="1"/>
  <c r="AE34" i="1"/>
  <c r="AA34" i="1"/>
  <c r="Y34" i="1"/>
  <c r="U34" i="1"/>
  <c r="S34" i="1"/>
  <c r="O34" i="1"/>
  <c r="M34" i="1"/>
  <c r="I34" i="1"/>
  <c r="G34" i="1"/>
  <c r="E34" i="1"/>
  <c r="AE33" i="1"/>
  <c r="AA33" i="1"/>
  <c r="Y33" i="1"/>
  <c r="AC33" i="1" s="1"/>
  <c r="U33" i="1"/>
  <c r="S33" i="1"/>
  <c r="W33" i="1" s="1"/>
  <c r="O33" i="1"/>
  <c r="M33" i="1"/>
  <c r="I33" i="1"/>
  <c r="G33" i="1"/>
  <c r="E33" i="1"/>
  <c r="AE32" i="1"/>
  <c r="AA32" i="1"/>
  <c r="Y32" i="1"/>
  <c r="AC32" i="1" s="1"/>
  <c r="U32" i="1"/>
  <c r="S32" i="1"/>
  <c r="O32" i="1"/>
  <c r="M32" i="1"/>
  <c r="I32" i="1"/>
  <c r="G32" i="1"/>
  <c r="E32" i="1"/>
  <c r="K32" i="1" s="1"/>
  <c r="AE31" i="1"/>
  <c r="AA31" i="1"/>
  <c r="Y31" i="1"/>
  <c r="AC31" i="1" s="1"/>
  <c r="U31" i="1"/>
  <c r="S31" i="1"/>
  <c r="O31" i="1"/>
  <c r="M31" i="1"/>
  <c r="I31" i="1"/>
  <c r="G31" i="1"/>
  <c r="E31" i="1"/>
  <c r="AE30" i="1"/>
  <c r="AA30" i="1"/>
  <c r="Y30" i="1"/>
  <c r="AC30" i="1" s="1"/>
  <c r="U30" i="1"/>
  <c r="S30" i="1"/>
  <c r="W30" i="1" s="1"/>
  <c r="O30" i="1"/>
  <c r="M30" i="1"/>
  <c r="I30" i="1"/>
  <c r="G30" i="1"/>
  <c r="E30" i="1"/>
  <c r="K30" i="1" s="1"/>
  <c r="AE29" i="1"/>
  <c r="AA29" i="1"/>
  <c r="Y29" i="1"/>
  <c r="U29" i="1"/>
  <c r="S29" i="1"/>
  <c r="O29" i="1"/>
  <c r="M29" i="1"/>
  <c r="I29" i="1"/>
  <c r="G29" i="1"/>
  <c r="E29" i="1"/>
  <c r="AE28" i="1"/>
  <c r="AA28" i="1"/>
  <c r="Y28" i="1"/>
  <c r="AC28" i="1" s="1"/>
  <c r="U28" i="1"/>
  <c r="S28" i="1"/>
  <c r="O28" i="1"/>
  <c r="M28" i="1"/>
  <c r="I28" i="1"/>
  <c r="G28" i="1"/>
  <c r="E28" i="1"/>
  <c r="AE27" i="1"/>
  <c r="AA27" i="1"/>
  <c r="Y27" i="1"/>
  <c r="U27" i="1"/>
  <c r="S27" i="1"/>
  <c r="O27" i="1"/>
  <c r="M27" i="1"/>
  <c r="Q27" i="1" s="1"/>
  <c r="I27" i="1"/>
  <c r="G27" i="1"/>
  <c r="E27" i="1"/>
  <c r="AE26" i="1"/>
  <c r="AA26" i="1"/>
  <c r="Y26" i="1"/>
  <c r="U26" i="1"/>
  <c r="S26" i="1"/>
  <c r="W26" i="1" s="1"/>
  <c r="O26" i="1"/>
  <c r="M26" i="1"/>
  <c r="Q26" i="1" s="1"/>
  <c r="I26" i="1"/>
  <c r="G26" i="1"/>
  <c r="E26" i="1"/>
  <c r="AE25" i="1"/>
  <c r="AA25" i="1"/>
  <c r="Y25" i="1"/>
  <c r="U25" i="1"/>
  <c r="S25" i="1"/>
  <c r="O25" i="1"/>
  <c r="M25" i="1"/>
  <c r="I25" i="1"/>
  <c r="G25" i="1"/>
  <c r="E25" i="1"/>
  <c r="K25" i="1" s="1"/>
  <c r="AE24" i="1"/>
  <c r="AA24" i="1"/>
  <c r="Y24" i="1"/>
  <c r="U24" i="1"/>
  <c r="S24" i="1"/>
  <c r="O24" i="1"/>
  <c r="M24" i="1"/>
  <c r="I24" i="1"/>
  <c r="G24" i="1"/>
  <c r="E24" i="1"/>
  <c r="K24" i="1" s="1"/>
  <c r="AE23" i="1"/>
  <c r="AA23" i="1"/>
  <c r="Y23" i="1"/>
  <c r="U23" i="1"/>
  <c r="S23" i="1"/>
  <c r="O23" i="1"/>
  <c r="M23" i="1"/>
  <c r="I23" i="1"/>
  <c r="G23" i="1"/>
  <c r="E23" i="1"/>
  <c r="K23" i="1" s="1"/>
  <c r="AE22" i="1"/>
  <c r="AA22" i="1"/>
  <c r="Y22" i="1"/>
  <c r="AC22" i="1" s="1"/>
  <c r="U22" i="1"/>
  <c r="S22" i="1"/>
  <c r="O22" i="1"/>
  <c r="M22" i="1"/>
  <c r="Q22" i="1" s="1"/>
  <c r="I22" i="1"/>
  <c r="G22" i="1"/>
  <c r="E22" i="1"/>
  <c r="AE21" i="1"/>
  <c r="AA21" i="1"/>
  <c r="Y21" i="1"/>
  <c r="AC21" i="1" s="1"/>
  <c r="U21" i="1"/>
  <c r="S21" i="1"/>
  <c r="O21" i="1"/>
  <c r="M21" i="1"/>
  <c r="Q21" i="1" s="1"/>
  <c r="I21" i="1"/>
  <c r="G21" i="1"/>
  <c r="E21" i="1"/>
  <c r="AE20" i="1"/>
  <c r="AA20" i="1"/>
  <c r="Y20" i="1"/>
  <c r="U20" i="1"/>
  <c r="S20" i="1"/>
  <c r="O20" i="1"/>
  <c r="M20" i="1"/>
  <c r="Q20" i="1" s="1"/>
  <c r="I20" i="1"/>
  <c r="G20" i="1"/>
  <c r="E20" i="1"/>
  <c r="AE19" i="1"/>
  <c r="AA19" i="1"/>
  <c r="Y19" i="1"/>
  <c r="U19" i="1"/>
  <c r="S19" i="1"/>
  <c r="O19" i="1"/>
  <c r="M19" i="1"/>
  <c r="I19" i="1"/>
  <c r="G19" i="1"/>
  <c r="E19" i="1"/>
  <c r="AE18" i="1"/>
  <c r="AA18" i="1"/>
  <c r="Y18" i="1"/>
  <c r="AC18" i="1" s="1"/>
  <c r="U18" i="1"/>
  <c r="S18" i="1"/>
  <c r="O18" i="1"/>
  <c r="M18" i="1"/>
  <c r="I18" i="1"/>
  <c r="G18" i="1"/>
  <c r="E18" i="1"/>
  <c r="AE17" i="1"/>
  <c r="AA17" i="1"/>
  <c r="Y17" i="1"/>
  <c r="U17" i="1"/>
  <c r="S17" i="1"/>
  <c r="O17" i="1"/>
  <c r="M17" i="1"/>
  <c r="I17" i="1"/>
  <c r="G17" i="1"/>
  <c r="E17" i="1"/>
  <c r="AE16" i="1"/>
  <c r="AA16" i="1"/>
  <c r="Y16" i="1"/>
  <c r="U16" i="1"/>
  <c r="S16" i="1"/>
  <c r="W16" i="1" s="1"/>
  <c r="O16" i="1"/>
  <c r="M16" i="1"/>
  <c r="I16" i="1"/>
  <c r="G16" i="1"/>
  <c r="E16" i="1"/>
  <c r="AE15" i="1"/>
  <c r="AA15" i="1"/>
  <c r="Y15" i="1"/>
  <c r="AC15" i="1" s="1"/>
  <c r="U15" i="1"/>
  <c r="S15" i="1"/>
  <c r="O15" i="1"/>
  <c r="M15" i="1"/>
  <c r="I15" i="1"/>
  <c r="G15" i="1"/>
  <c r="E15" i="1"/>
  <c r="K15" i="1" s="1"/>
  <c r="AE14" i="1"/>
  <c r="AA14" i="1"/>
  <c r="Y14" i="1"/>
  <c r="U14" i="1"/>
  <c r="S14" i="1"/>
  <c r="O14" i="1"/>
  <c r="M14" i="1"/>
  <c r="Q14" i="1" s="1"/>
  <c r="I14" i="1"/>
  <c r="G14" i="1"/>
  <c r="E14" i="1"/>
  <c r="AE13" i="1"/>
  <c r="AA13" i="1"/>
  <c r="Y13" i="1"/>
  <c r="AC13" i="1" s="1"/>
  <c r="U13" i="1"/>
  <c r="S13" i="1"/>
  <c r="O13" i="1"/>
  <c r="M13" i="1"/>
  <c r="Q13" i="1" s="1"/>
  <c r="I13" i="1"/>
  <c r="G13" i="1"/>
  <c r="E13" i="1"/>
  <c r="AE12" i="1"/>
  <c r="AA12" i="1"/>
  <c r="Y12" i="1"/>
  <c r="U12" i="1"/>
  <c r="S12" i="1"/>
  <c r="O12" i="1"/>
  <c r="M12" i="1"/>
  <c r="I12" i="1"/>
  <c r="G12" i="1"/>
  <c r="E12" i="1"/>
  <c r="AE11" i="1"/>
  <c r="AA11" i="1"/>
  <c r="Y11" i="1"/>
  <c r="U11" i="1"/>
  <c r="S11" i="1"/>
  <c r="O11" i="1"/>
  <c r="M11" i="1"/>
  <c r="I11" i="1"/>
  <c r="G11" i="1"/>
  <c r="E11" i="1"/>
  <c r="AE10" i="1"/>
  <c r="AA10" i="1"/>
  <c r="Y10" i="1"/>
  <c r="U10" i="1"/>
  <c r="S10" i="1"/>
  <c r="W10" i="1" s="1"/>
  <c r="O10" i="1"/>
  <c r="M10" i="1"/>
  <c r="I10" i="1"/>
  <c r="G10" i="1"/>
  <c r="E10" i="1"/>
  <c r="AE9" i="1"/>
  <c r="AA9" i="1"/>
  <c r="Y9" i="1"/>
  <c r="U9" i="1"/>
  <c r="S9" i="1"/>
  <c r="O9" i="1"/>
  <c r="M9" i="1"/>
  <c r="I9" i="1"/>
  <c r="G9" i="1"/>
  <c r="E9" i="1"/>
  <c r="AE8" i="1"/>
  <c r="AA8" i="1"/>
  <c r="Y8" i="1"/>
  <c r="AC8" i="1" s="1"/>
  <c r="U8" i="1"/>
  <c r="S8" i="1"/>
  <c r="O8" i="1"/>
  <c r="M8" i="1"/>
  <c r="I8" i="1"/>
  <c r="G8" i="1"/>
  <c r="E8" i="1"/>
  <c r="AE7" i="1"/>
  <c r="AA7" i="1"/>
  <c r="Y7" i="1"/>
  <c r="AC7" i="1" s="1"/>
  <c r="U7" i="1"/>
  <c r="S7" i="1"/>
  <c r="O7" i="1"/>
  <c r="M7" i="1"/>
  <c r="I7" i="1"/>
  <c r="I5" i="1" s="1"/>
  <c r="G7" i="1"/>
  <c r="E7" i="1"/>
  <c r="K33" i="1" l="1"/>
  <c r="AC24" i="1"/>
  <c r="K11" i="1"/>
  <c r="G5" i="1"/>
  <c r="Q23" i="1"/>
  <c r="AC17" i="1"/>
  <c r="Q31" i="1"/>
  <c r="W28" i="1"/>
  <c r="AC34" i="1"/>
  <c r="W12" i="1"/>
  <c r="Q30" i="1"/>
  <c r="Q17" i="1"/>
  <c r="K34" i="1"/>
  <c r="Q37" i="1"/>
  <c r="W29" i="1"/>
  <c r="K28" i="1"/>
  <c r="K26" i="1"/>
  <c r="AC37" i="1"/>
  <c r="W34" i="1"/>
  <c r="W32" i="1"/>
  <c r="K22" i="1"/>
  <c r="W31" i="1"/>
  <c r="Q25" i="1"/>
  <c r="K31" i="1"/>
  <c r="Q16" i="1"/>
  <c r="W14" i="1"/>
  <c r="K14" i="1"/>
  <c r="K12" i="1"/>
  <c r="W8" i="1"/>
  <c r="K37" i="1"/>
  <c r="K20" i="1"/>
  <c r="K27" i="1"/>
  <c r="AC26" i="1"/>
  <c r="W21" i="1"/>
  <c r="W18" i="1"/>
  <c r="Q18" i="1"/>
  <c r="K18" i="1"/>
  <c r="K17" i="1"/>
  <c r="W15" i="1"/>
  <c r="W36" i="1"/>
  <c r="AC23" i="1"/>
  <c r="AC25" i="1"/>
  <c r="Q29" i="1"/>
  <c r="Q28" i="1"/>
  <c r="AC29" i="1"/>
  <c r="Q34" i="1"/>
  <c r="Q33" i="1"/>
  <c r="W27" i="1"/>
  <c r="W37" i="1"/>
  <c r="K35" i="1"/>
  <c r="AC27" i="1"/>
  <c r="Q24" i="1"/>
  <c r="W23" i="1"/>
  <c r="Q10" i="1"/>
  <c r="Q7" i="1"/>
  <c r="Q32" i="1"/>
  <c r="W25" i="1"/>
  <c r="Q12" i="1"/>
  <c r="Q11" i="1"/>
  <c r="AC10" i="1"/>
  <c r="K29" i="1"/>
  <c r="W24" i="1"/>
  <c r="Q8" i="1"/>
  <c r="Q19" i="1"/>
  <c r="AC14" i="1"/>
  <c r="AC12" i="1"/>
  <c r="AC20" i="1"/>
  <c r="W17" i="1"/>
  <c r="Q15" i="1"/>
  <c r="K13" i="1"/>
  <c r="W11" i="1"/>
  <c r="K10" i="1"/>
  <c r="W9" i="1"/>
  <c r="K21" i="1"/>
  <c r="W20" i="1"/>
  <c r="W19" i="1"/>
  <c r="K19" i="1"/>
  <c r="AC16" i="1"/>
  <c r="K16" i="1"/>
  <c r="AC11" i="1"/>
  <c r="Q9" i="1"/>
  <c r="K9" i="1"/>
  <c r="W7" i="1"/>
  <c r="K8" i="1"/>
  <c r="AN13" i="1"/>
  <c r="W22" i="1"/>
  <c r="AC19" i="1"/>
  <c r="W13" i="1"/>
  <c r="AW8" i="1"/>
  <c r="AC9" i="1"/>
  <c r="AU8" i="1"/>
  <c r="AV8" i="1"/>
  <c r="AO8" i="1"/>
  <c r="AP8" i="1"/>
  <c r="AN8" i="1"/>
  <c r="AR8" i="1"/>
  <c r="AQ8" i="1"/>
  <c r="AT8" i="1"/>
  <c r="AS8" i="1"/>
  <c r="AW10" i="1"/>
  <c r="AW11" i="1"/>
  <c r="K7" i="1"/>
  <c r="E5" i="1"/>
  <c r="Q38" i="1" l="1"/>
  <c r="K38" i="1"/>
  <c r="AN15" i="1"/>
  <c r="AM15" i="1" s="1"/>
  <c r="AN12" i="1"/>
  <c r="AS10" i="1"/>
  <c r="AS11" i="1"/>
  <c r="AT10" i="1"/>
  <c r="AT11" i="1"/>
  <c r="AQ10" i="1"/>
  <c r="AQ11" i="1"/>
  <c r="AR10" i="1"/>
  <c r="AR11" i="1"/>
  <c r="AV10" i="1"/>
  <c r="AV11" i="1"/>
  <c r="AU10" i="1"/>
  <c r="AU11" i="1"/>
  <c r="AO10" i="1"/>
  <c r="AO11" i="1"/>
  <c r="AN10" i="1"/>
  <c r="AN11" i="1"/>
  <c r="AP10" i="1"/>
  <c r="AP11" i="1"/>
</calcChain>
</file>

<file path=xl/sharedStrings.xml><?xml version="1.0" encoding="utf-8"?>
<sst xmlns="http://schemas.openxmlformats.org/spreadsheetml/2006/main" count="510" uniqueCount="50">
  <si>
    <t>R</t>
  </si>
  <si>
    <t>KREDIVO</t>
  </si>
  <si>
    <t>Grand Total</t>
  </si>
  <si>
    <t>HCI</t>
  </si>
  <si>
    <t>INDODANA</t>
  </si>
  <si>
    <t>AKULAKU</t>
  </si>
  <si>
    <t>ShopeePay</t>
  </si>
  <si>
    <t>BNPL target 50% to target store</t>
  </si>
  <si>
    <t>Date</t>
  </si>
  <si>
    <t>M268 KRE</t>
  </si>
  <si>
    <t>Debby</t>
  </si>
  <si>
    <t>Apri</t>
  </si>
  <si>
    <t>Amount</t>
  </si>
  <si>
    <t>Qty</t>
  </si>
  <si>
    <t>M268 AKL</t>
  </si>
  <si>
    <t>M268 SPY</t>
  </si>
  <si>
    <t>BNPL</t>
  </si>
  <si>
    <t>Target Dari Store</t>
  </si>
  <si>
    <t>Target BNPL</t>
  </si>
  <si>
    <t>Achievement BNPL</t>
  </si>
  <si>
    <t>Selisih</t>
  </si>
  <si>
    <t>Hit%</t>
  </si>
  <si>
    <t>Contribution To Store %</t>
  </si>
  <si>
    <t>Total Pencapaian</t>
  </si>
  <si>
    <t>Persen To Target</t>
  </si>
  <si>
    <t>Laku 6</t>
  </si>
  <si>
    <t>Tier 0</t>
  </si>
  <si>
    <t>Tier 1</t>
  </si>
  <si>
    <t>Tier 2</t>
  </si>
  <si>
    <t>Tier 3</t>
  </si>
  <si>
    <t>Rahman Ibrahim</t>
  </si>
  <si>
    <t>Virginia Bella</t>
  </si>
  <si>
    <t>Daniela Karin</t>
  </si>
  <si>
    <t>Rangga Fachrezy</t>
  </si>
  <si>
    <t>Elang Sofyan</t>
  </si>
  <si>
    <t>Jonathan Jeremy</t>
  </si>
  <si>
    <t>ID</t>
  </si>
  <si>
    <t>Start time</t>
  </si>
  <si>
    <t>Completion time</t>
  </si>
  <si>
    <t>TYPE BNPL</t>
  </si>
  <si>
    <t>Date Sales</t>
  </si>
  <si>
    <t>Promotor Name</t>
  </si>
  <si>
    <t>Tier Laku 6</t>
  </si>
  <si>
    <t>Kredivo</t>
  </si>
  <si>
    <t>Elsa</t>
  </si>
  <si>
    <t>Hairul</t>
  </si>
  <si>
    <t>Ainun</t>
  </si>
  <si>
    <t>Akulaku</t>
  </si>
  <si>
    <t>Shopeepay Later</t>
  </si>
  <si>
    <t>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</si>
</sst>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_);_(* \(#,##0\);_(* &quot;-&quot;??_);_(@_)"/>
    <numFmt numFmtId="165" formatCode="[$-409]mmmm\ d\,\ yyyy;@"/>
    <numFmt numFmtId="166" formatCode="[$-409]mmmm\-yy;@"/>
    <numFmt numFmtId="167" formatCode="[$-409]mmm\-yy;@"/>
    <numFmt numFmtId="168" formatCode="[$-F800]dddd\,\ mmmm\ dd\,\ yyyy"/>
    <numFmt numFmtId="169" formatCode="m/d/yyyy"/>
    <numFmt numFmtId="170" formatCode="m/d/yyyy\ h:mm"/>
  </numFmts>
  <fonts count="2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2"/>
      <color rgb="FFFFFFFF"/>
      <name val="Calibri"/>
      <scheme val="minor"/>
    </font>
    <font>
      <sz val="10"/>
      <color theme="0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46BDC6"/>
      <name val="Calibri"/>
      <family val="2"/>
      <scheme val="minor"/>
    </font>
    <font>
      <b/>
      <sz val="26"/>
      <color theme="0"/>
      <name val="Blackadder ITC"/>
    </font>
    <font>
      <b/>
      <sz val="14"/>
      <color rgb="FFFF0000"/>
      <name val="Calibri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6">
    <xf numFmtId="0" fontId="0" fillId="0" borderId="0" xfId="0"/>
    <xf numFmtId="164" fontId="0" fillId="0" borderId="0" xfId="0" applyNumberFormat="1"/>
    <xf numFmtId="3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167" fontId="5" fillId="2" borderId="5" xfId="0" applyNumberFormat="1" applyFont="1" applyFill="1" applyBorder="1" applyAlignment="1">
      <alignment horizontal="center" vertical="center" wrapText="1"/>
    </xf>
    <xf numFmtId="3" fontId="5" fillId="3" borderId="8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left" vertical="center" wrapText="1"/>
    </xf>
    <xf numFmtId="3" fontId="6" fillId="5" borderId="10" xfId="0" applyNumberFormat="1" applyFont="1" applyFill="1" applyBorder="1" applyAlignment="1">
      <alignment horizontal="center" vertical="center"/>
    </xf>
    <xf numFmtId="3" fontId="7" fillId="9" borderId="9" xfId="0" applyNumberFormat="1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3" fontId="7" fillId="9" borderId="10" xfId="0" applyNumberFormat="1" applyFont="1" applyFill="1" applyBorder="1" applyAlignment="1">
      <alignment horizontal="center" vertical="center"/>
    </xf>
    <xf numFmtId="3" fontId="10" fillId="3" borderId="3" xfId="0" applyNumberFormat="1" applyFont="1" applyFill="1" applyBorder="1" applyAlignment="1">
      <alignment horizontal="left" vertical="center" wrapText="1"/>
    </xf>
    <xf numFmtId="3" fontId="5" fillId="5" borderId="9" xfId="0" applyNumberFormat="1" applyFont="1" applyFill="1" applyBorder="1" applyAlignment="1">
      <alignment horizontal="center" vertical="center"/>
    </xf>
    <xf numFmtId="9" fontId="7" fillId="9" borderId="9" xfId="1" applyFont="1" applyFill="1" applyBorder="1" applyAlignment="1">
      <alignment horizontal="center" vertical="center"/>
    </xf>
    <xf numFmtId="9" fontId="7" fillId="9" borderId="2" xfId="1" applyFont="1" applyFill="1" applyBorder="1" applyAlignment="1">
      <alignment horizontal="center" vertical="center"/>
    </xf>
    <xf numFmtId="9" fontId="7" fillId="9" borderId="3" xfId="1" applyFont="1" applyFill="1" applyBorder="1" applyAlignment="1">
      <alignment horizontal="center" vertical="center"/>
    </xf>
    <xf numFmtId="9" fontId="7" fillId="5" borderId="10" xfId="0" applyNumberFormat="1" applyFont="1" applyFill="1" applyBorder="1" applyAlignment="1">
      <alignment horizontal="center" vertical="center"/>
    </xf>
    <xf numFmtId="3" fontId="11" fillId="9" borderId="10" xfId="0" applyNumberFormat="1" applyFont="1" applyFill="1" applyBorder="1" applyAlignment="1">
      <alignment horizontal="center" vertical="center"/>
    </xf>
    <xf numFmtId="9" fontId="8" fillId="4" borderId="3" xfId="1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165" fontId="3" fillId="16" borderId="0" xfId="0" applyNumberFormat="1" applyFont="1" applyFill="1" applyAlignment="1">
      <alignment horizontal="center" vertical="center" wrapText="1"/>
    </xf>
    <xf numFmtId="0" fontId="0" fillId="16" borderId="0" xfId="0" applyFill="1"/>
    <xf numFmtId="0" fontId="13" fillId="16" borderId="2" xfId="0" applyFont="1" applyFill="1" applyBorder="1" applyAlignment="1">
      <alignment horizontal="center" vertical="center"/>
    </xf>
    <xf numFmtId="22" fontId="0" fillId="0" borderId="0" xfId="0" applyNumberFormat="1"/>
    <xf numFmtId="0" fontId="0" fillId="10" borderId="0" xfId="0" applyFill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13" fillId="1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6" borderId="5" xfId="0" applyNumberFormat="1" applyFill="1" applyBorder="1" applyAlignment="1">
      <alignment vertical="center" wrapText="1"/>
    </xf>
    <xf numFmtId="3" fontId="0" fillId="6" borderId="18" xfId="0" applyNumberFormat="1" applyFill="1" applyBorder="1" applyAlignment="1">
      <alignment vertical="center" wrapText="1"/>
    </xf>
    <xf numFmtId="3" fontId="0" fillId="2" borderId="20" xfId="0" applyNumberFormat="1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/>
    </xf>
    <xf numFmtId="0" fontId="13" fillId="16" borderId="5" xfId="0" applyFont="1" applyFill="1" applyBorder="1" applyAlignment="1">
      <alignment horizontal="center" vertical="center"/>
    </xf>
    <xf numFmtId="3" fontId="0" fillId="2" borderId="5" xfId="0" applyNumberFormat="1" applyFill="1" applyBorder="1" applyAlignment="1">
      <alignment vertical="center" wrapText="1"/>
    </xf>
    <xf numFmtId="3" fontId="0" fillId="2" borderId="18" xfId="0" applyNumberFormat="1" applyFill="1" applyBorder="1" applyAlignment="1">
      <alignment vertical="center" wrapText="1"/>
    </xf>
    <xf numFmtId="3" fontId="0" fillId="7" borderId="5" xfId="0" applyNumberFormat="1" applyFill="1" applyBorder="1" applyAlignment="1">
      <alignment vertical="center" wrapText="1"/>
    </xf>
    <xf numFmtId="3" fontId="0" fillId="7" borderId="18" xfId="0" applyNumberFormat="1" applyFill="1" applyBorder="1" applyAlignment="1">
      <alignment vertical="center" wrapText="1"/>
    </xf>
    <xf numFmtId="3" fontId="0" fillId="12" borderId="2" xfId="0" applyNumberForma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3" fontId="0" fillId="13" borderId="2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3" fontId="0" fillId="15" borderId="2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3" fontId="0" fillId="14" borderId="2" xfId="0" applyNumberFormat="1" applyFill="1" applyBorder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8" fontId="0" fillId="0" borderId="0" xfId="0" applyNumberFormat="1"/>
    <xf numFmtId="14" fontId="0" fillId="0" borderId="0" xfId="0" applyNumberFormat="1"/>
    <xf numFmtId="3" fontId="15" fillId="8" borderId="5" xfId="2" applyNumberFormat="1" applyFont="1" applyFill="1" applyBorder="1" applyAlignment="1">
      <alignment horizontal="center" vertical="center" wrapText="1"/>
    </xf>
    <xf numFmtId="3" fontId="14" fillId="2" borderId="5" xfId="2" applyNumberFormat="1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9" fontId="0" fillId="0" borderId="2" xfId="0" applyNumberFormat="1" applyBorder="1"/>
    <xf numFmtId="0" fontId="0" fillId="17" borderId="0" xfId="0" applyFill="1"/>
    <xf numFmtId="168" fontId="0" fillId="17" borderId="0" xfId="0" applyNumberFormat="1" applyFill="1"/>
    <xf numFmtId="164" fontId="0" fillId="17" borderId="0" xfId="0" applyNumberFormat="1" applyFill="1"/>
    <xf numFmtId="0" fontId="0" fillId="9" borderId="0" xfId="0" applyFill="1"/>
    <xf numFmtId="166" fontId="2" fillId="16" borderId="1" xfId="0" applyNumberFormat="1" applyFont="1" applyFill="1" applyBorder="1" applyAlignment="1">
      <alignment horizontal="center" vertical="center" wrapText="1"/>
    </xf>
    <xf numFmtId="9" fontId="7" fillId="9" borderId="3" xfId="0" applyNumberFormat="1" applyFont="1" applyFill="1" applyBorder="1" applyAlignment="1">
      <alignment horizontal="center" vertical="center"/>
    </xf>
    <xf numFmtId="9" fontId="7" fillId="9" borderId="9" xfId="0" applyNumberFormat="1" applyFont="1" applyFill="1" applyBorder="1" applyAlignment="1">
      <alignment horizontal="center" vertical="center"/>
    </xf>
    <xf numFmtId="9" fontId="7" fillId="9" borderId="10" xfId="0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center"/>
    </xf>
    <xf numFmtId="0" fontId="18" fillId="18" borderId="0" xfId="0" applyFont="1" applyFill="1"/>
    <xf numFmtId="0" fontId="20" fillId="0" borderId="2" xfId="0" applyFont="1" applyBorder="1" applyAlignment="1">
      <alignment horizontal="center" vertical="center"/>
    </xf>
    <xf numFmtId="0" fontId="0" fillId="0" borderId="0" xfId="0" applyNumberFormat="1"/>
    <xf numFmtId="0" fontId="0" fillId="17" borderId="0" xfId="0" applyNumberFormat="1" applyFill="1" applyAlignment="1">
      <alignment horizontal="center"/>
    </xf>
    <xf numFmtId="170" fontId="0" fillId="0" borderId="0" xfId="0" applyNumberFormat="1"/>
    <xf numFmtId="169" fontId="0" fillId="0" borderId="0" xfId="0" applyNumberFormat="1"/>
    <xf numFmtId="0" fontId="0" fillId="0" borderId="2" xfId="0" applyBorder="1" applyAlignment="1">
      <alignment horizontal="center"/>
    </xf>
    <xf numFmtId="3" fontId="8" fillId="2" borderId="7" xfId="0" applyNumberFormat="1" applyFont="1" applyFill="1" applyBorder="1" applyAlignment="1">
      <alignment horizontal="center" vertical="center" wrapText="1"/>
    </xf>
    <xf numFmtId="3" fontId="0" fillId="7" borderId="7" xfId="0" applyNumberFormat="1" applyFill="1" applyBorder="1" applyAlignment="1">
      <alignment horizontal="center" vertical="center" wrapText="1"/>
    </xf>
    <xf numFmtId="0" fontId="16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3" fontId="7" fillId="9" borderId="11" xfId="0" applyNumberFormat="1" applyFont="1" applyFill="1" applyBorder="1" applyAlignment="1">
      <alignment horizontal="center" vertical="center"/>
    </xf>
    <xf numFmtId="3" fontId="7" fillId="9" borderId="12" xfId="0" applyNumberFormat="1" applyFont="1" applyFill="1" applyBorder="1" applyAlignment="1">
      <alignment horizontal="center" vertical="center"/>
    </xf>
    <xf numFmtId="0" fontId="17" fillId="18" borderId="0" xfId="0" applyFont="1" applyFill="1" applyAlignment="1">
      <alignment horizontal="center" vertical="center" wrapText="1"/>
    </xf>
    <xf numFmtId="3" fontId="19" fillId="18" borderId="0" xfId="0" applyNumberFormat="1" applyFont="1" applyFill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8" fillId="2" borderId="16" xfId="0" applyNumberFormat="1" applyFont="1" applyFill="1" applyBorder="1" applyAlignment="1">
      <alignment horizontal="center" vertical="center" wrapText="1"/>
    </xf>
    <xf numFmtId="3" fontId="0" fillId="7" borderId="3" xfId="0" applyNumberFormat="1" applyFill="1" applyBorder="1" applyAlignment="1">
      <alignment horizontal="center" vertical="center" wrapText="1"/>
    </xf>
    <xf numFmtId="3" fontId="0" fillId="7" borderId="7" xfId="0" applyNumberFormat="1" applyFill="1" applyBorder="1" applyAlignment="1">
      <alignment horizontal="center" vertical="center" wrapText="1"/>
    </xf>
    <xf numFmtId="3" fontId="0" fillId="7" borderId="16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7" xfId="0" applyNumberFormat="1" applyFill="1" applyBorder="1" applyAlignment="1">
      <alignment horizontal="center" vertical="center" wrapText="1"/>
    </xf>
    <xf numFmtId="3" fontId="0" fillId="2" borderId="16" xfId="0" applyNumberFormat="1" applyFill="1" applyBorder="1" applyAlignment="1">
      <alignment horizontal="center" vertical="center" wrapText="1"/>
    </xf>
    <xf numFmtId="3" fontId="0" fillId="6" borderId="3" xfId="0" applyNumberFormat="1" applyFill="1" applyBorder="1" applyAlignment="1">
      <alignment horizontal="center" vertical="center" wrapText="1"/>
    </xf>
    <xf numFmtId="3" fontId="0" fillId="6" borderId="7" xfId="0" applyNumberFormat="1" applyFill="1" applyBorder="1" applyAlignment="1">
      <alignment horizontal="center" vertical="center" wrapText="1"/>
    </xf>
    <xf numFmtId="3" fontId="0" fillId="6" borderId="16" xfId="0" applyNumberFormat="1" applyFill="1" applyBorder="1" applyAlignment="1">
      <alignment horizontal="center" vertical="center" wrapText="1"/>
    </xf>
    <xf numFmtId="3" fontId="0" fillId="6" borderId="17" xfId="0" applyNumberFormat="1" applyFill="1" applyBorder="1" applyAlignment="1">
      <alignment horizontal="center" vertical="center" wrapText="1"/>
    </xf>
    <xf numFmtId="3" fontId="0" fillId="6" borderId="4" xfId="0" applyNumberFormat="1" applyFill="1" applyBorder="1" applyAlignment="1">
      <alignment horizontal="center" vertical="center" wrapText="1"/>
    </xf>
    <xf numFmtId="3" fontId="0" fillId="6" borderId="19" xfId="0" applyNumberFormat="1" applyFill="1" applyBorder="1" applyAlignment="1">
      <alignment horizontal="center" vertical="center" wrapText="1"/>
    </xf>
    <xf numFmtId="3" fontId="0" fillId="6" borderId="6" xfId="0" applyNumberFormat="1" applyFill="1" applyBorder="1" applyAlignment="1">
      <alignment horizontal="center" vertical="center" wrapText="1"/>
    </xf>
    <xf numFmtId="3" fontId="0" fillId="2" borderId="17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3" fontId="0" fillId="2" borderId="19" xfId="0" applyNumberForma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 wrapText="1"/>
    </xf>
    <xf numFmtId="3" fontId="0" fillId="7" borderId="17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3" fontId="0" fillId="7" borderId="19" xfId="0" applyNumberFormat="1" applyFill="1" applyBorder="1" applyAlignment="1">
      <alignment horizontal="center" vertical="center" wrapText="1"/>
    </xf>
    <xf numFmtId="3" fontId="0" fillId="7" borderId="6" xfId="0" applyNumberFormat="1" applyFill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/>
    </xf>
    <xf numFmtId="3" fontId="5" fillId="9" borderId="11" xfId="0" applyNumberFormat="1" applyFont="1" applyFill="1" applyBorder="1" applyAlignment="1">
      <alignment horizontal="center" vertical="center"/>
    </xf>
    <xf numFmtId="3" fontId="5" fillId="9" borderId="12" xfId="0" applyNumberFormat="1" applyFont="1" applyFill="1" applyBorder="1" applyAlignment="1">
      <alignment horizontal="center" vertical="center"/>
    </xf>
    <xf numFmtId="3" fontId="7" fillId="4" borderId="13" xfId="0" applyNumberFormat="1" applyFont="1" applyFill="1" applyBorder="1" applyAlignment="1">
      <alignment horizontal="center" vertical="center"/>
    </xf>
    <xf numFmtId="3" fontId="7" fillId="4" borderId="14" xfId="0" applyNumberFormat="1" applyFont="1" applyFill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0" fillId="2" borderId="22" xfId="0" applyNumberFormat="1" applyFill="1" applyBorder="1" applyAlignment="1">
      <alignment horizontal="center" vertical="center" wrapText="1"/>
    </xf>
    <xf numFmtId="3" fontId="0" fillId="6" borderId="21" xfId="0" applyNumberFormat="1" applyFill="1" applyBorder="1" applyAlignment="1">
      <alignment horizontal="center" vertical="center" wrapText="1"/>
    </xf>
    <xf numFmtId="3" fontId="0" fillId="6" borderId="0" xfId="0" applyNumberFormat="1" applyFill="1" applyAlignment="1">
      <alignment horizontal="center" vertical="center" wrapText="1"/>
    </xf>
    <xf numFmtId="3" fontId="8" fillId="2" borderId="21" xfId="0" applyNumberFormat="1" applyFont="1" applyFill="1" applyBorder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wrapText="1"/>
    </xf>
    <xf numFmtId="3" fontId="0" fillId="7" borderId="22" xfId="0" applyNumberFormat="1" applyFill="1" applyBorder="1" applyAlignment="1">
      <alignment horizontal="center" vertical="center" wrapText="1"/>
    </xf>
    <xf numFmtId="3" fontId="6" fillId="5" borderId="9" xfId="0" applyNumberFormat="1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9" fontId="7" fillId="5" borderId="9" xfId="1" applyFont="1" applyFill="1" applyBorder="1" applyAlignment="1">
      <alignment horizontal="center" vertical="center"/>
    </xf>
    <xf numFmtId="9" fontId="7" fillId="5" borderId="2" xfId="1" applyFont="1" applyFill="1" applyBorder="1" applyAlignment="1">
      <alignment horizontal="center" vertical="center"/>
    </xf>
    <xf numFmtId="9" fontId="7" fillId="5" borderId="3" xfId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9" fontId="7" fillId="5" borderId="9" xfId="0" applyNumberFormat="1" applyFont="1" applyFill="1" applyBorder="1" applyAlignment="1">
      <alignment horizontal="center" vertical="center"/>
    </xf>
    <xf numFmtId="9" fontId="7" fillId="5" borderId="3" xfId="0" applyNumberFormat="1" applyFont="1" applyFill="1" applyBorder="1" applyAlignment="1">
      <alignment horizontal="center" vertical="center"/>
    </xf>
    <xf numFmtId="3" fontId="9" fillId="8" borderId="4" xfId="0" applyNumberFormat="1" applyFont="1" applyFill="1" applyBorder="1" applyAlignment="1">
      <alignment horizontal="center" vertical="center" textRotation="255" wrapText="1"/>
    </xf>
    <xf numFmtId="3" fontId="9" fillId="8" borderId="6" xfId="0" applyNumberFormat="1" applyFont="1" applyFill="1" applyBorder="1" applyAlignment="1">
      <alignment horizontal="center" vertical="center" textRotation="255" wrapText="1"/>
    </xf>
    <xf numFmtId="3" fontId="6" fillId="5" borderId="2" xfId="0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3" fontId="5" fillId="9" borderId="7" xfId="0" applyNumberFormat="1" applyFont="1" applyFill="1" applyBorder="1" applyAlignment="1">
      <alignment horizontal="center" vertical="center"/>
    </xf>
  </cellXfs>
  <cellStyles count="3">
    <cellStyle name="Hipertaut" xfId="2" builtinId="8"/>
    <cellStyle name="Normal" xfId="0" builtinId="0"/>
    <cellStyle name="Persen" xfId="1" builtinId="5"/>
  </cellStyles>
  <dxfs count="18"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169" formatCode="m/d/yyyy"/>
    </dxf>
    <dxf>
      <numFmt numFmtId="0" formatCode="General"/>
    </dxf>
    <dxf>
      <numFmt numFmtId="170" formatCode="m/d/yyyy\ h:mm"/>
    </dxf>
    <dxf>
      <numFmt numFmtId="170" formatCode="m/d/yyyy\ h:mm"/>
    </dxf>
    <dxf>
      <numFmt numFmtId="0" formatCode="General"/>
    </dxf>
    <dxf>
      <numFmt numFmtId="165" formatCode="[$-409]mmmm\ d\,\ yyyy;@"/>
      <alignment horizontal="center" vertical="center" wrapText="1"/>
      <protection locked="1"/>
    </dxf>
    <dxf>
      <numFmt numFmtId="3" formatCode="#,##0"/>
      <alignment horizontal="center" vertical="center" wrapText="1"/>
      <protection locked="1"/>
    </dxf>
    <dxf>
      <numFmt numFmtId="3" formatCode="#,##0"/>
      <alignment horizontal="center" vertical="center" wrapText="1"/>
      <protection locked="1"/>
    </dxf>
    <dxf>
      <font>
        <color theme="0"/>
      </font>
      <numFmt numFmtId="3" formatCode="#,##0"/>
      <fill>
        <patternFill patternType="solid">
          <fgColor indexed="64"/>
          <bgColor theme="1"/>
        </patternFill>
      </fill>
      <alignment horizontal="center" vertical="center" wrapText="1"/>
      <protection locked="1"/>
    </dxf>
    <dxf>
      <font>
        <color rgb="FF0061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Medium9">
    <tableStyle name="April 2026-style 3" pivot="0" count="4" xr9:uid="{5229EC35-BDE0-46BD-954E-8BFBCB3D0B3C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colors>
    <mruColors>
      <color rgb="FF46BD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2f41ddf8a805e1b/MASTER%20DATA%20DIGIMAP%20RAHMAN/R%20Dashboard%20M268%20EX.xlsx" TargetMode="External"/><Relationship Id="rId1" Type="http://schemas.openxmlformats.org/officeDocument/2006/relationships/externalLinkPath" Target="R%20Dashboard%20M268%20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92F41DDF8A805E1B" itemId="92F41DDF8A805E1B!s4e3df75b8e1341b68170b1c3974cb67e">
      <xxl21:absoluteUrl r:id="rId2"/>
    </xxl21:alternateUrls>
    <sheetNames>
      <sheetName val="RAW MASTER DATA"/>
      <sheetName val="Dashboard"/>
      <sheetName val="M268 REKAP"/>
      <sheetName val="SOH"/>
      <sheetName val="MSR"/>
      <sheetName val="SPW"/>
      <sheetName val="SPR"/>
      <sheetName val="HARGA DEVICE"/>
      <sheetName val="HARGA AKSESORIS"/>
      <sheetName val="Skema 3PP"/>
      <sheetName val="Report Expres"/>
      <sheetName val="Sheet1"/>
      <sheetName val="syncsheet_settings"/>
      <sheetName val="Lembar1"/>
      <sheetName val="WEB DATA"/>
    </sheetNames>
    <sheetDataSet>
      <sheetData sheetId="0"/>
      <sheetData sheetId="1"/>
      <sheetData sheetId="2">
        <row r="3">
          <cell r="C3">
            <v>2026</v>
          </cell>
        </row>
        <row r="6">
          <cell r="D6">
            <v>3250000000</v>
          </cell>
        </row>
        <row r="48">
          <cell r="AE48">
            <v>2719799700</v>
          </cell>
        </row>
        <row r="49">
          <cell r="AD49" t="str">
            <v>BNPL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1B2ED0-284D-4914-A5AA-B794B5327233}" name="DAILY" displayName="DAILY" ref="B6:B38" headerRowDxfId="12" dataDxfId="11" totalsRowDxfId="10">
  <tableColumns count="1">
    <tableColumn id="1" xr3:uid="{08D1B97C-69AF-4FF7-818F-A297B6DC95E6}" name="Date" dataDxfId="9"/>
  </tableColumns>
  <tableStyleInfo name="April 2026-style 3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16F8B-0D10-4E10-BDB3-B169EB2DDE1B}" name="Table1" displayName="Table1" ref="A1:I225" totalsRowShown="0">
  <autoFilter ref="A1:I225" xr:uid="{DB716F8B-0D10-4E10-BDB3-B169EB2DDE1B}">
    <filterColumn colId="4">
      <filters>
        <dateGroupItem year="2026" month="8" dateTimeGrouping="month"/>
      </filters>
    </filterColumn>
  </autoFilter>
  <sortState xmlns:xlrd2="http://schemas.microsoft.com/office/spreadsheetml/2017/richdata2" ref="A2:H137">
    <sortCondition ref="E1:E137"/>
  </sortState>
  <tableColumns count="9">
    <tableColumn id="1" xr3:uid="{B9074EF9-76DE-4D11-B79B-9B75C2E0A21D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5CAFDB05-7A9D-49BE-B2D3-4AFF833991E6}" name="Start time" dataDxfId="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E817618E-CA3D-473C-87BD-6FFEB285040D}" name="Completion time" dataDxfId="6">
      <extLst>
        <ext xmlns:xlmsforms="http://schemas.microsoft.com/office/spreadsheetml/2023/msForms" uri="{FCC71383-01E1-4257-9335-427F07BE8D7F}">
          <xlmsforms:question id="submitDate"/>
        </ext>
      </extLst>
    </tableColumn>
    <tableColumn id="6" xr3:uid="{A3F29933-A6DA-412E-B738-F31C70EB8213}" name="TYPE BNPL" dataDxfId="5">
      <extLst>
        <ext xmlns:xlmsforms="http://schemas.microsoft.com/office/spreadsheetml/2023/msForms" uri="{FCC71383-01E1-4257-9335-427F07BE8D7F}">
          <xlmsforms:question id="r508891ce0f4645c78251ef1cc5b33f83"/>
        </ext>
      </extLst>
    </tableColumn>
    <tableColumn id="8" xr3:uid="{AD3DC041-4F4C-40F3-A251-B03023E9EA11}" name="Date Sales" dataDxfId="4">
      <extLst>
        <ext xmlns:xlmsforms="http://schemas.microsoft.com/office/spreadsheetml/2023/msForms" uri="{FCC71383-01E1-4257-9335-427F07BE8D7F}">
          <xlmsforms:question id="raa2863e634c94816ace8bd2489e723f0"/>
        </ext>
      </extLst>
    </tableColumn>
    <tableColumn id="7" xr3:uid="{308D9042-A29C-4677-AF0B-802092565AEF}" name="Promotor Name" dataDxfId="3">
      <extLst>
        <ext xmlns:xlmsforms="http://schemas.microsoft.com/office/spreadsheetml/2023/msForms" uri="{FCC71383-01E1-4257-9335-427F07BE8D7F}">
          <xlmsforms:question id="r241ee6564e244576806c031d36d8eb4a"/>
        </ext>
      </extLst>
    </tableColumn>
    <tableColumn id="9" xr3:uid="{D0521B3E-11D3-484A-86F3-19B3D22C715D}" name="Amount" dataDxfId="2">
      <extLst>
        <ext xmlns:xlmsforms="http://schemas.microsoft.com/office/spreadsheetml/2023/msForms" uri="{FCC71383-01E1-4257-9335-427F07BE8D7F}">
          <xlmsforms:question id="r830db877a6164f8e99a18e12bce4aa07"/>
        </ext>
      </extLst>
    </tableColumn>
    <tableColumn id="4" xr3:uid="{62F3BCEE-80AF-4A98-A989-3CDB6FCBC50B}" name="Qty" dataDxfId="1">
      <extLst>
        <ext xmlns:xlmsforms="http://schemas.microsoft.com/office/spreadsheetml/2023/msForms" uri="{FCC71383-01E1-4257-9335-427F07BE8D7F}">
          <xlmsforms:question id="rad57bf716e894fe6a28cd898f517099f"/>
        </ext>
      </extLst>
    </tableColumn>
    <tableColumn id="5" xr3:uid="{C82A0B67-C64E-4741-8548-5E33A92B8BE2}" name="Tier Laku 6" dataDxfId="0">
      <calculatedColumnFormula>IF(OR(Table1[[#This Row],[Amount]]="", ISBLANK(Table1[[#This Row],[Amount]])), "", IFERROR(LOOKUP(Table1[[#This Row],[Amount]], {0;2500000;2500001;5000001}, {"Tier 0";"Tier 1";"Tier 2";"Tier 3"}), ""))</calculatedColumnFormula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MAAEtg665UMUdDTFpTNkRKMFkyUEtMSkZROTE0N0VOSi4u" isFormConnected="1" maxResponseId="229" latestEventMarker="27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r508891ce0f4645c78251ef1cc5b33f83</xlmsforms:syncedQuestionId>
        <xlmsforms:syncedQuestionId>r241ee6564e244576806c031d36d8eb4a</xlmsforms:syncedQuestionId>
        <xlmsforms:syncedQuestionId>r13264a7de84a4ed48266016af92a6d27</xlmsforms:syncedQuestionId>
        <xlmsforms:syncedQuestionId>rf5ecd52e87ee4b8483dc6b1765f22b59</xlmsforms:syncedQuestionId>
        <xlmsforms:syncedQuestionId>r94a629cff1124f508813c38e4a26778b</xlmsforms:syncedQuestionId>
        <xlmsforms:syncedQuestionId>r0e748a6bde634ff5ac29418571444ffe</xlmsforms:syncedQuestionId>
        <xlmsforms:syncedQuestionId>rd561e52285fe43869d3199470b898664</xlmsforms:syncedQuestionId>
        <xlmsforms:syncedQuestionId>r943f14ce4a9541fe8e03eb6374c3e7b6</xlmsforms:syncedQuestionId>
        <xlmsforms:syncedQuestionId>rd7c59abc52dc48c8b54e95d4d9592e77</xlmsforms:syncedQuestionId>
        <xlmsforms:syncedQuestionId>r6bdecf465c36498495bbbbdd359eaddd</xlmsforms:syncedQuestionId>
        <xlmsforms:syncedQuestionId>r7697b7c3f4bf4d4786da090e03973700</xlmsforms:syncedQuestionId>
        <xlmsforms:syncedQuestionId>rc5d2e7c7676f4c64958bd4b5e9254999</xlmsforms:syncedQuestionId>
        <xlmsforms:syncedQuestionId>r4580667093464e6a9e92ca74a518291e</xlmsforms:syncedQuestionId>
        <xlmsforms:syncedQuestionId>r581164d2923341cd943d2e980a9cf137</xlmsforms:syncedQuestionId>
        <xlmsforms:syncedQuestionId>r24f1f380b11d4cb1bc7900a88f5449ee</xlmsforms:syncedQuestionId>
        <xlmsforms:syncedQuestionId>re226b94acd2e4d78aa62d3d55d3ebe01</xlmsforms:syncedQuestionId>
        <xlmsforms:syncedQuestionId>raa2863e634c94816ace8bd2489e723f0</xlmsforms:syncedQuestionId>
        <xlmsforms:syncedQuestionId>r830db877a6164f8e99a18e12bce4aa07</xlmsforms:syncedQuestionId>
        <xlmsforms:syncedQuestionId>rad57bf716e894fe6a28cd898f517099f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"/>
  <sheetViews>
    <sheetView topLeftCell="A7" zoomScale="86" workbookViewId="0">
      <pane xSplit="2" topLeftCell="AC1" activePane="topRight" state="frozen"/>
      <selection pane="topRight" activeCell="AN27" sqref="AN27"/>
    </sheetView>
  </sheetViews>
  <sheetFormatPr defaultColWidth="9.140625" defaultRowHeight="15" customHeight="1"/>
  <cols>
    <col min="1" max="1" width="14.140625" style="61" customWidth="1"/>
    <col min="2" max="2" width="20.42578125" style="61" customWidth="1"/>
    <col min="3" max="3" width="11.5703125" style="61" hidden="1" customWidth="1"/>
    <col min="4" max="4" width="11.5703125" style="61" customWidth="1"/>
    <col min="5" max="5" width="5.85546875" style="61" customWidth="1"/>
    <col min="6" max="6" width="11.5703125" style="61" customWidth="1"/>
    <col min="7" max="7" width="5.85546875" style="61" customWidth="1"/>
    <col min="8" max="8" width="11.5703125" style="61" customWidth="1"/>
    <col min="9" max="9" width="7.7109375" style="61" customWidth="1"/>
    <col min="10" max="10" width="11.5703125" style="61" customWidth="1"/>
    <col min="11" max="11" width="5.85546875" style="61" customWidth="1"/>
    <col min="12" max="12" width="11.5703125" style="61" customWidth="1"/>
    <col min="13" max="13" width="5.85546875" style="61" customWidth="1"/>
    <col min="14" max="14" width="11.5703125" style="61" customWidth="1"/>
    <col min="15" max="15" width="5.85546875" style="61" customWidth="1"/>
    <col min="16" max="16" width="11.5703125" style="61" customWidth="1"/>
    <col min="17" max="17" width="5.85546875" style="61" customWidth="1"/>
    <col min="18" max="18" width="11.5703125" style="61" customWidth="1"/>
    <col min="19" max="19" width="5.85546875" style="61" customWidth="1"/>
    <col min="20" max="20" width="11.5703125" style="61" customWidth="1"/>
    <col min="21" max="21" width="5.85546875" style="61" customWidth="1"/>
    <col min="22" max="22" width="11.5703125" style="61" customWidth="1"/>
    <col min="23" max="23" width="5.85546875" style="61" customWidth="1"/>
    <col min="24" max="24" width="11.5703125" style="61" customWidth="1"/>
    <col min="25" max="25" width="5.85546875" style="61" customWidth="1"/>
    <col min="26" max="26" width="11.5703125" style="61" customWidth="1"/>
    <col min="27" max="27" width="5.85546875" style="61" customWidth="1"/>
    <col min="28" max="28" width="11.5703125" style="61" customWidth="1"/>
    <col min="29" max="29" width="5.85546875" style="61" customWidth="1"/>
    <col min="30" max="30" width="11.5703125" style="61" customWidth="1"/>
    <col min="31" max="31" width="5.85546875" style="61" customWidth="1"/>
    <col min="32" max="36" width="11.5703125" style="61" hidden="1" customWidth="1"/>
    <col min="37" max="37" width="9.140625" style="61"/>
    <col min="38" max="38" width="25.5703125" style="61" customWidth="1"/>
    <col min="39" max="39" width="20.5703125" style="61" customWidth="1"/>
    <col min="40" max="49" width="14.42578125" style="61" customWidth="1"/>
    <col min="50" max="16384" width="9.140625" style="61"/>
  </cols>
  <sheetData>
    <row r="1" spans="1:50" ht="14.45">
      <c r="A1" s="83">
        <f>'[1]M268 REKAP'!$C$3</f>
        <v>2026</v>
      </c>
      <c r="B1" s="79" t="s">
        <v>0</v>
      </c>
      <c r="C1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</row>
    <row r="2" spans="1:50" ht="14.45">
      <c r="A2" s="83"/>
      <c r="B2" s="79"/>
      <c r="C2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</row>
    <row r="3" spans="1:50" ht="14.45">
      <c r="A3" s="70"/>
      <c r="B3" s="79"/>
      <c r="C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</row>
    <row r="4" spans="1:50" ht="14.45" customHeight="1">
      <c r="A4" s="84">
        <v>9</v>
      </c>
      <c r="B4" s="79"/>
      <c r="C4"/>
      <c r="D4" s="94" t="s">
        <v>1</v>
      </c>
      <c r="E4" s="95"/>
      <c r="F4" s="95"/>
      <c r="G4" s="95"/>
      <c r="H4" s="95"/>
      <c r="I4" s="96"/>
      <c r="J4" s="97" t="s">
        <v>2</v>
      </c>
      <c r="K4" s="98"/>
      <c r="L4" s="85" t="s">
        <v>3</v>
      </c>
      <c r="M4" s="86"/>
      <c r="N4" s="87"/>
      <c r="O4" s="77"/>
      <c r="P4" s="101" t="s">
        <v>2</v>
      </c>
      <c r="Q4" s="102"/>
      <c r="R4" s="88" t="s">
        <v>4</v>
      </c>
      <c r="S4" s="89"/>
      <c r="T4" s="90"/>
      <c r="U4" s="78"/>
      <c r="V4" s="105" t="s">
        <v>2</v>
      </c>
      <c r="W4" s="106"/>
      <c r="X4" s="91" t="s">
        <v>5</v>
      </c>
      <c r="Y4" s="92"/>
      <c r="Z4" s="93"/>
      <c r="AA4" s="38"/>
      <c r="AB4" s="101" t="s">
        <v>2</v>
      </c>
      <c r="AC4" s="102"/>
      <c r="AD4" s="24" t="s">
        <v>6</v>
      </c>
      <c r="AE4" s="32"/>
      <c r="AF4" s="97" t="s">
        <v>2</v>
      </c>
      <c r="AG4" s="98"/>
      <c r="AH4"/>
      <c r="AI4"/>
      <c r="AJ4"/>
      <c r="AK4" s="64"/>
      <c r="AL4" s="80" t="s">
        <v>7</v>
      </c>
      <c r="AM4" s="80"/>
      <c r="AN4" s="109">
        <v>0.25</v>
      </c>
      <c r="AO4" s="80"/>
      <c r="AP4" s="80"/>
      <c r="AQ4" s="80"/>
      <c r="AR4" s="80"/>
      <c r="AS4" s="80"/>
      <c r="AT4" s="80"/>
      <c r="AU4" s="109">
        <v>0.15</v>
      </c>
      <c r="AV4" s="80"/>
      <c r="AW4" s="60">
        <v>0.1</v>
      </c>
      <c r="AX4"/>
    </row>
    <row r="5" spans="1:50" ht="14.1" customHeight="1">
      <c r="A5" s="84"/>
      <c r="B5" s="79"/>
      <c r="C5"/>
      <c r="D5" s="25">
        <f>SUBTOTAL(9,D7:D37)</f>
        <v>0</v>
      </c>
      <c r="E5" s="25">
        <f>SUBTOTAL(9,E7:E37)</f>
        <v>0</v>
      </c>
      <c r="F5" s="45">
        <f t="shared" ref="F5:AJ5" si="0">SUBTOTAL(9,F7:F37)</f>
        <v>292115220</v>
      </c>
      <c r="G5" s="25">
        <f t="shared" si="0"/>
        <v>16</v>
      </c>
      <c r="H5" s="45">
        <f t="shared" si="0"/>
        <v>245211920</v>
      </c>
      <c r="I5" s="25">
        <f>SUBTOTAL(9,I7:I37)</f>
        <v>16</v>
      </c>
      <c r="J5" s="99"/>
      <c r="K5" s="100"/>
      <c r="L5" s="26">
        <f t="shared" si="0"/>
        <v>0</v>
      </c>
      <c r="M5" s="26"/>
      <c r="N5" s="26">
        <f t="shared" si="0"/>
        <v>0</v>
      </c>
      <c r="O5" s="26"/>
      <c r="P5" s="103"/>
      <c r="Q5" s="104"/>
      <c r="R5" s="27">
        <f t="shared" si="0"/>
        <v>0</v>
      </c>
      <c r="S5" s="27"/>
      <c r="T5" s="45">
        <f t="shared" si="0"/>
        <v>0</v>
      </c>
      <c r="U5" s="27"/>
      <c r="V5" s="107"/>
      <c r="W5" s="108"/>
      <c r="X5" s="45">
        <f t="shared" si="0"/>
        <v>145077000</v>
      </c>
      <c r="Y5" s="26"/>
      <c r="Z5" s="45">
        <f t="shared" si="0"/>
        <v>0</v>
      </c>
      <c r="AA5" s="39"/>
      <c r="AB5" s="103"/>
      <c r="AC5" s="104"/>
      <c r="AD5" s="45">
        <f t="shared" si="0"/>
        <v>90757000</v>
      </c>
      <c r="AE5" s="33"/>
      <c r="AF5" s="99"/>
      <c r="AG5" s="100"/>
      <c r="AH5">
        <f t="shared" si="0"/>
        <v>0</v>
      </c>
      <c r="AI5">
        <f t="shared" si="0"/>
        <v>0</v>
      </c>
      <c r="AJ5">
        <f t="shared" si="0"/>
        <v>0</v>
      </c>
      <c r="AK5" s="64"/>
      <c r="AL5" s="57">
        <f>'[1]M268 REKAP'!$D$6</f>
        <v>3250000000</v>
      </c>
      <c r="AM5" s="58">
        <f>'[1]M268 REKAP'!$AE$48</f>
        <v>2719799700</v>
      </c>
      <c r="AN5" s="116" t="s">
        <v>1</v>
      </c>
      <c r="AO5" s="117"/>
      <c r="AP5" s="117"/>
      <c r="AQ5" s="118" t="s">
        <v>3</v>
      </c>
      <c r="AR5" s="119"/>
      <c r="AS5" s="120" t="s">
        <v>4</v>
      </c>
      <c r="AT5" s="107"/>
      <c r="AU5" s="115" t="s">
        <v>5</v>
      </c>
      <c r="AV5" s="103"/>
      <c r="AW5" s="59" t="s">
        <v>6</v>
      </c>
      <c r="AX5" s="64"/>
    </row>
    <row r="6" spans="1:50" ht="14.1" customHeight="1">
      <c r="A6" s="65">
        <f>DATE(A1,A4,1)</f>
        <v>46266</v>
      </c>
      <c r="B6" s="28" t="s">
        <v>8</v>
      </c>
      <c r="C6" s="29"/>
      <c r="D6" s="30" t="s">
        <v>9</v>
      </c>
      <c r="E6" s="30"/>
      <c r="F6" s="30" t="s">
        <v>10</v>
      </c>
      <c r="G6" s="30"/>
      <c r="H6" s="30" t="s">
        <v>11</v>
      </c>
      <c r="I6" s="30"/>
      <c r="J6" s="36" t="s">
        <v>12</v>
      </c>
      <c r="K6" s="37" t="s">
        <v>13</v>
      </c>
      <c r="L6" s="30"/>
      <c r="M6" s="30"/>
      <c r="N6" s="30"/>
      <c r="O6" s="30"/>
      <c r="P6" s="41" t="s">
        <v>12</v>
      </c>
      <c r="Q6" s="42" t="s">
        <v>13</v>
      </c>
      <c r="R6" s="30"/>
      <c r="S6" s="30"/>
      <c r="T6" s="30"/>
      <c r="U6" s="30"/>
      <c r="V6" s="43" t="s">
        <v>12</v>
      </c>
      <c r="W6" s="44" t="s">
        <v>13</v>
      </c>
      <c r="X6" s="30" t="s">
        <v>14</v>
      </c>
      <c r="Y6" s="30"/>
      <c r="Z6" s="30"/>
      <c r="AA6" s="40"/>
      <c r="AB6" s="41" t="s">
        <v>12</v>
      </c>
      <c r="AC6" s="42" t="s">
        <v>13</v>
      </c>
      <c r="AD6" s="30" t="s">
        <v>15</v>
      </c>
      <c r="AE6" s="34"/>
      <c r="AF6" s="36" t="s">
        <v>12</v>
      </c>
      <c r="AG6" s="37" t="s">
        <v>13</v>
      </c>
      <c r="AH6" s="23"/>
      <c r="AI6" s="23"/>
      <c r="AJ6" s="23"/>
      <c r="AK6" s="64"/>
      <c r="AL6" s="130" t="s">
        <v>16</v>
      </c>
      <c r="AM6" s="7" t="str">
        <f>'[1]M268 REKAP'!$AD$49</f>
        <v>BNPL</v>
      </c>
      <c r="AN6" s="8" t="str">
        <f>D6</f>
        <v>M268 KRE</v>
      </c>
      <c r="AO6" s="8" t="str">
        <f>F6</f>
        <v>Debby</v>
      </c>
      <c r="AP6" s="8" t="str">
        <f>H6</f>
        <v>Apri</v>
      </c>
      <c r="AQ6" s="8">
        <f>L6</f>
        <v>0</v>
      </c>
      <c r="AR6" s="8">
        <f>N6</f>
        <v>0</v>
      </c>
      <c r="AS6" s="8">
        <f>R6</f>
        <v>0</v>
      </c>
      <c r="AT6" s="8">
        <f>T6</f>
        <v>0</v>
      </c>
      <c r="AU6" s="8" t="str">
        <f>X6</f>
        <v>M268 AKL</v>
      </c>
      <c r="AV6" s="8">
        <f>Z6</f>
        <v>0</v>
      </c>
      <c r="AW6" s="8" t="str">
        <f t="shared" ref="AW6" si="1">AD6</f>
        <v>M268 SPY</v>
      </c>
      <c r="AX6" s="64"/>
    </row>
    <row r="7" spans="1:50" ht="14.1" customHeight="1">
      <c r="A7" s="2" t="str">
        <f>TEXT(B7,"[$-us]dddd")</f>
        <v>Selasa</v>
      </c>
      <c r="B7" s="4">
        <f>DATE(A1,A4,1)</f>
        <v>46266</v>
      </c>
      <c r="C7"/>
      <c r="D7" s="45">
        <f>SUMIFS('R DATA BNPL'!$G:$G,'R DATA BNPL'!$E:$E,B7,'R DATA BNPL'!$F:$F,'REKAP PERFORMANCE'!$D$6)</f>
        <v>0</v>
      </c>
      <c r="E7" s="45">
        <f>SUMIFS('R DATA BNPL'!$H:$H,'R DATA BNPL'!$E:$E,DAILY[[#This Row],[Date]],'R DATA BNPL'!$F:$F,'REKAP PERFORMANCE'!$D$6)</f>
        <v>0</v>
      </c>
      <c r="F7" s="45">
        <f>SUMIFS('R DATA BNPL'!$G:$G,'R DATA BNPL'!$E:$E,B7,'R DATA BNPL'!$F:$F,'REKAP PERFORMANCE'!$F$6)</f>
        <v>0</v>
      </c>
      <c r="G7" s="45">
        <f>SUMIFS('R DATA BNPL'!$H:$H,'R DATA BNPL'!$E:$E,DAILY[[#This Row],[Date]],'R DATA BNPL'!$F:$F,'REKAP PERFORMANCE'!$F$6)</f>
        <v>0</v>
      </c>
      <c r="H7" s="45">
        <f>SUMIFS('R DATA BNPL'!$G:$G,'R DATA BNPL'!$E:$E,B7,'R DATA BNPL'!$F:$F,'REKAP PERFORMANCE'!$H$6)</f>
        <v>15453000</v>
      </c>
      <c r="I7" s="45">
        <f>SUMIFS('R DATA BNPL'!$H:$H,'R DATA BNPL'!$E:$E,DAILY[[#This Row],[Date]],'R DATA BNPL'!$F:$F,'REKAP PERFORMANCE'!$H$6)</f>
        <v>1</v>
      </c>
      <c r="J7" s="46">
        <f>D7+F7+H7</f>
        <v>15453000</v>
      </c>
      <c r="K7" s="46">
        <f>E7+G7+I7</f>
        <v>1</v>
      </c>
      <c r="L7" s="47">
        <f>SUMIFS('R DATA BNPL'!$G:$G,'R DATA BNPL'!$E:$E,B7,'R DATA BNPL'!$F:$F,'REKAP PERFORMANCE'!$L$6)</f>
        <v>0</v>
      </c>
      <c r="M7" s="47">
        <f>SUMIFS('R DATA BNPL'!$H:$H,'R DATA BNPL'!$E:$E,DAILY[[#This Row],[Date]],'R DATA BNPL'!$F:$F,'REKAP PERFORMANCE'!$L$6)</f>
        <v>0</v>
      </c>
      <c r="N7" s="47">
        <f>SUMIFS('R DATA BNPL'!$G:$G,'R DATA BNPL'!$E:$E,B7,'R DATA BNPL'!$F:$F,'REKAP PERFORMANCE'!$N$6)</f>
        <v>0</v>
      </c>
      <c r="O7" s="47">
        <f>SUMIFS('R DATA BNPL'!$H:$H,'R DATA BNPL'!$E:$E,DAILY[[#This Row],[Date]],'R DATA BNPL'!$F:$F,'REKAP PERFORMANCE'!$N$6)</f>
        <v>0</v>
      </c>
      <c r="P7" s="48">
        <f>L7+N7</f>
        <v>0</v>
      </c>
      <c r="Q7" s="48">
        <f>M7+O7</f>
        <v>0</v>
      </c>
      <c r="R7" s="49">
        <f>SUMIFS('R DATA BNPL'!$G:$G,'R DATA BNPL'!$E:$E,B7,'R DATA BNPL'!$F:$F,'REKAP PERFORMANCE'!$R$6)</f>
        <v>0</v>
      </c>
      <c r="S7" s="49">
        <f>SUMIFS('R DATA BNPL'!$H:$H,'R DATA BNPL'!$E:$E,DAILY[[#This Row],[Date]],'R DATA BNPL'!$F:$F,'REKAP PERFORMANCE'!$R$6)</f>
        <v>0</v>
      </c>
      <c r="T7" s="49">
        <f>SUMIFS('R DATA BNPL'!$G:$G,'R DATA BNPL'!$E:$E,B7,'R DATA BNPL'!$F:$F,'REKAP PERFORMANCE'!$T$6)</f>
        <v>0</v>
      </c>
      <c r="U7" s="49">
        <f>SUMIFS('R DATA BNPL'!$H:$H,'R DATA BNPL'!$E:$E,DAILY[[#This Row],[Date]],'R DATA BNPL'!$F:$F,'REKAP PERFORMANCE'!$T$6)</f>
        <v>0</v>
      </c>
      <c r="V7" s="50">
        <f>R7+T7</f>
        <v>0</v>
      </c>
      <c r="W7" s="50">
        <f>S7+U7</f>
        <v>0</v>
      </c>
      <c r="X7" s="47">
        <f>SUMIFS('R DATA BNPL'!$G:$G,'R DATA BNPL'!$E:$E,B7,'R DATA BNPL'!$F:$F,'REKAP PERFORMANCE'!$X$6)</f>
        <v>0</v>
      </c>
      <c r="Y7" s="47">
        <f>SUMIFS('R DATA BNPL'!$H:$H,'R DATA BNPL'!$E:$E,DAILY[[#This Row],[Date]],'R DATA BNPL'!$F:$F,'REKAP PERFORMANCE'!$X$6)</f>
        <v>0</v>
      </c>
      <c r="Z7" s="47">
        <f>SUMIFS('R DATA BNPL'!$G:$G,'R DATA BNPL'!$E:$E,B7,'R DATA BNPL'!$F:$F,'REKAP PERFORMANCE'!$Z$6)</f>
        <v>0</v>
      </c>
      <c r="AA7" s="47">
        <f>SUMIFS('R DATA BNPL'!$H:$H,'R DATA BNPL'!$E:$E,DAILY[[#This Row],[Date]],'R DATA BNPL'!$F:$F,'REKAP PERFORMANCE'!$Z$6)</f>
        <v>0</v>
      </c>
      <c r="AB7" s="48">
        <f>X7+Z7</f>
        <v>0</v>
      </c>
      <c r="AC7" s="48">
        <f>Y7+AA7</f>
        <v>0</v>
      </c>
      <c r="AD7" s="51">
        <f>SUMIFS('R DATA BNPL'!$G:$G,'R DATA BNPL'!$E:$E,B7,'R DATA BNPL'!$F:$F,'REKAP PERFORMANCE'!$AD$6)</f>
        <v>0</v>
      </c>
      <c r="AE7" s="52">
        <f>SUMIFS('R DATA BNPL'!$H:$H,'R DATA BNPL'!$E:$E,DAILY[[#This Row],[Date]],'R DATA BNPL'!$F:$F,'REKAP PERFORMANCE'!$AD$6)</f>
        <v>0</v>
      </c>
      <c r="AF7" s="33"/>
      <c r="AG7" s="33"/>
      <c r="AH7">
        <f>SUMIFS('R DATA BNPL'!$G:$G,'R DATA BNPL'!$E:$E,B7,'R DATA BNPL'!$F:$F,'REKAP PERFORMANCE'!$AH$6)</f>
        <v>0</v>
      </c>
      <c r="AI7">
        <f>SUMIFS('R DATA BNPL'!$G:$G,'R DATA BNPL'!$E:$E,B7,'R DATA BNPL'!$F:$F,'REKAP PERFORMANCE'!$AI$6)</f>
        <v>0</v>
      </c>
      <c r="AJ7">
        <f>SUMIFS('R DATA BNPL'!$G:$G,'R DATA BNPL'!$E:$E,B7,'R DATA BNPL'!$F:$F,'REKAP PERFORMANCE'!$AJ$6)</f>
        <v>0</v>
      </c>
      <c r="AK7" s="64"/>
      <c r="AL7" s="131"/>
      <c r="AM7" s="9" t="s">
        <v>17</v>
      </c>
      <c r="AN7" s="121">
        <f>AL5*AN4</f>
        <v>812500000</v>
      </c>
      <c r="AO7" s="132"/>
      <c r="AP7" s="122"/>
      <c r="AQ7" s="133">
        <f>AL5*AQ4</f>
        <v>0</v>
      </c>
      <c r="AR7" s="134"/>
      <c r="AS7" s="133">
        <f>AL5*AS4</f>
        <v>0</v>
      </c>
      <c r="AT7" s="134"/>
      <c r="AU7" s="121">
        <f>AL5*AU4</f>
        <v>487500000</v>
      </c>
      <c r="AV7" s="122"/>
      <c r="AW7" s="10">
        <f>AL5*AW4</f>
        <v>325000000</v>
      </c>
      <c r="AX7" s="64"/>
    </row>
    <row r="8" spans="1:50" ht="14.1" customHeight="1">
      <c r="A8" s="2" t="str">
        <f t="shared" ref="A8:A38" si="2">TEXT(B8,"[$-us]dddd")</f>
        <v>Rabu</v>
      </c>
      <c r="B8" s="4">
        <f>IF(MONTH(B7+1)=$A$4,B7+1)</f>
        <v>46267</v>
      </c>
      <c r="C8"/>
      <c r="D8" s="45">
        <f>SUMIFS('R DATA BNPL'!$G:$G,'R DATA BNPL'!$E:$E,B8,'R DATA BNPL'!$F:$F,'REKAP PERFORMANCE'!$D$6)</f>
        <v>0</v>
      </c>
      <c r="E8" s="45">
        <f>SUMIFS('R DATA BNPL'!$H:$H,'R DATA BNPL'!$E:$E,DAILY[[#This Row],[Date]],'R DATA BNPL'!$F:$F,'REKAP PERFORMANCE'!$D$6)</f>
        <v>0</v>
      </c>
      <c r="F8" s="45">
        <f>SUMIFS('R DATA BNPL'!$G:$G,'R DATA BNPL'!$E:$E,B8,'R DATA BNPL'!$F:$F,'REKAP PERFORMANCE'!$F$6)</f>
        <v>19633309</v>
      </c>
      <c r="G8" s="45">
        <f>SUMIFS('R DATA BNPL'!$H:$H,'R DATA BNPL'!$E:$E,DAILY[[#This Row],[Date]],'R DATA BNPL'!$F:$F,'REKAP PERFORMANCE'!$F$6)</f>
        <v>1</v>
      </c>
      <c r="H8" s="45">
        <f>SUMIFS('R DATA BNPL'!$G:$G,'R DATA BNPL'!$E:$E,B8,'R DATA BNPL'!$F:$F,'REKAP PERFORMANCE'!$H$6)</f>
        <v>0</v>
      </c>
      <c r="I8" s="45">
        <f>SUMIFS('R DATA BNPL'!$H:$H,'R DATA BNPL'!$E:$E,DAILY[[#This Row],[Date]],'R DATA BNPL'!$F:$F,'REKAP PERFORMANCE'!$H$6)</f>
        <v>0</v>
      </c>
      <c r="J8" s="46">
        <f t="shared" ref="J8:J37" si="3">D8+F8+H8</f>
        <v>19633309</v>
      </c>
      <c r="K8" s="46">
        <f t="shared" ref="K8:K37" si="4">E8+G8+I8</f>
        <v>1</v>
      </c>
      <c r="L8" s="47">
        <f>SUMIFS('R DATA BNPL'!$G:$G,'R DATA BNPL'!$E:$E,B8,'R DATA BNPL'!$F:$F,'REKAP PERFORMANCE'!$L$6)</f>
        <v>0</v>
      </c>
      <c r="M8" s="47">
        <f>SUMIFS('R DATA BNPL'!$H:$H,'R DATA BNPL'!$E:$E,DAILY[[#This Row],[Date]],'R DATA BNPL'!$F:$F,'REKAP PERFORMANCE'!$L$6)</f>
        <v>0</v>
      </c>
      <c r="N8" s="47">
        <f>SUMIFS('R DATA BNPL'!$G:$G,'R DATA BNPL'!$E:$E,B8,'R DATA BNPL'!$F:$F,'REKAP PERFORMANCE'!$N$6)</f>
        <v>0</v>
      </c>
      <c r="O8" s="47">
        <f>SUMIFS('R DATA BNPL'!$H:$H,'R DATA BNPL'!$E:$E,DAILY[[#This Row],[Date]],'R DATA BNPL'!$F:$F,'REKAP PERFORMANCE'!$N$6)</f>
        <v>0</v>
      </c>
      <c r="P8" s="48">
        <f t="shared" ref="P8:P37" si="5">L8+N8</f>
        <v>0</v>
      </c>
      <c r="Q8" s="48">
        <f t="shared" ref="Q8:Q37" si="6">M8+O8</f>
        <v>0</v>
      </c>
      <c r="R8" s="49">
        <f>SUMIFS('R DATA BNPL'!$G:$G,'R DATA BNPL'!$E:$E,B8,'R DATA BNPL'!$F:$F,'REKAP PERFORMANCE'!$R$6)</f>
        <v>0</v>
      </c>
      <c r="S8" s="49">
        <f>SUMIFS('R DATA BNPL'!$H:$H,'R DATA BNPL'!$E:$E,DAILY[[#This Row],[Date]],'R DATA BNPL'!$F:$F,'REKAP PERFORMANCE'!$R$6)</f>
        <v>0</v>
      </c>
      <c r="T8" s="49">
        <f>SUMIFS('R DATA BNPL'!$G:$G,'R DATA BNPL'!$E:$E,B8,'R DATA BNPL'!$F:$F,'REKAP PERFORMANCE'!$T$6)</f>
        <v>0</v>
      </c>
      <c r="U8" s="49">
        <f>SUMIFS('R DATA BNPL'!$H:$H,'R DATA BNPL'!$E:$E,DAILY[[#This Row],[Date]],'R DATA BNPL'!$F:$F,'REKAP PERFORMANCE'!$T$6)</f>
        <v>0</v>
      </c>
      <c r="V8" s="50">
        <f t="shared" ref="V8:V37" si="7">R8+T8</f>
        <v>0</v>
      </c>
      <c r="W8" s="50">
        <f t="shared" ref="W8:W37" si="8">S8+U8</f>
        <v>0</v>
      </c>
      <c r="X8" s="47">
        <f>SUMIFS('R DATA BNPL'!$G:$G,'R DATA BNPL'!$E:$E,B8,'R DATA BNPL'!$F:$F,'REKAP PERFORMANCE'!$X$6)</f>
        <v>0</v>
      </c>
      <c r="Y8" s="47">
        <f>SUMIFS('R DATA BNPL'!$H:$H,'R DATA BNPL'!$E:$E,DAILY[[#This Row],[Date]],'R DATA BNPL'!$F:$F,'REKAP PERFORMANCE'!$X$6)</f>
        <v>0</v>
      </c>
      <c r="Z8" s="47">
        <f>SUMIFS('R DATA BNPL'!$G:$G,'R DATA BNPL'!$E:$E,B8,'R DATA BNPL'!$F:$F,'REKAP PERFORMANCE'!$Z$6)</f>
        <v>0</v>
      </c>
      <c r="AA8" s="47">
        <f>SUMIFS('R DATA BNPL'!$H:$H,'R DATA BNPL'!$E:$E,DAILY[[#This Row],[Date]],'R DATA BNPL'!$F:$F,'REKAP PERFORMANCE'!$Z$6)</f>
        <v>0</v>
      </c>
      <c r="AB8" s="48">
        <f t="shared" ref="AB8:AB37" si="9">X8+Z8</f>
        <v>0</v>
      </c>
      <c r="AC8" s="48">
        <f t="shared" ref="AC8:AC37" si="10">Y8+AA8</f>
        <v>0</v>
      </c>
      <c r="AD8" s="51">
        <f>SUMIFS('R DATA BNPL'!$G:$G,'R DATA BNPL'!$E:$E,B8,'R DATA BNPL'!$F:$F,'REKAP PERFORMANCE'!$AD$6)</f>
        <v>0</v>
      </c>
      <c r="AE8" s="52">
        <f>SUMIFS('R DATA BNPL'!$H:$H,'R DATA BNPL'!$E:$E,DAILY[[#This Row],[Date]],'R DATA BNPL'!$F:$F,'REKAP PERFORMANCE'!$AD$6)</f>
        <v>0</v>
      </c>
      <c r="AF8" s="33"/>
      <c r="AG8" s="33"/>
      <c r="AH8">
        <f>SUMIFS('R DATA BNPL'!$G:$G,'R DATA BNPL'!$E:$E,B8,'R DATA BNPL'!$F:$F,'REKAP PERFORMANCE'!$AH$6)</f>
        <v>0</v>
      </c>
      <c r="AI8">
        <f>SUMIFS('R DATA BNPL'!$G:$G,'R DATA BNPL'!$E:$E,B8,'R DATA BNPL'!$F:$F,'REKAP PERFORMANCE'!$AI$6)</f>
        <v>0</v>
      </c>
      <c r="AJ8">
        <f>SUMIFS('R DATA BNPL'!$G:$G,'R DATA BNPL'!$E:$E,B8,'R DATA BNPL'!$F:$F,'REKAP PERFORMANCE'!$AJ$6)</f>
        <v>0</v>
      </c>
      <c r="AK8" s="64"/>
      <c r="AL8" s="131"/>
      <c r="AM8" s="9" t="s">
        <v>18</v>
      </c>
      <c r="AN8" s="11">
        <f>$AN$7*AN14</f>
        <v>0</v>
      </c>
      <c r="AO8" s="11">
        <f t="shared" ref="AO8:AP8" si="11">$AN$7*AO14</f>
        <v>406250000</v>
      </c>
      <c r="AP8" s="11">
        <f t="shared" si="11"/>
        <v>406250000</v>
      </c>
      <c r="AQ8" s="12">
        <f>AQ7/2</f>
        <v>0</v>
      </c>
      <c r="AR8" s="13">
        <f>AQ7/2</f>
        <v>0</v>
      </c>
      <c r="AS8" s="13">
        <f>AS7/2</f>
        <v>0</v>
      </c>
      <c r="AT8" s="13">
        <f>AS7/2</f>
        <v>0</v>
      </c>
      <c r="AU8" s="11">
        <f>$AU$7*AU14</f>
        <v>487500000</v>
      </c>
      <c r="AV8" s="11">
        <f>$AU$7*AV14</f>
        <v>0</v>
      </c>
      <c r="AW8" s="14">
        <f>AW7*AW14</f>
        <v>325000000</v>
      </c>
      <c r="AX8" s="64"/>
    </row>
    <row r="9" spans="1:50" ht="14.1" customHeight="1">
      <c r="A9" s="2" t="str">
        <f t="shared" si="2"/>
        <v>Kamis</v>
      </c>
      <c r="B9" s="4">
        <f t="shared" ref="B9:B38" si="12">IF(MONTH(B8+1)=$A$4,B8+1)</f>
        <v>46268</v>
      </c>
      <c r="C9"/>
      <c r="D9" s="45">
        <f>SUMIFS('R DATA BNPL'!$G:$G,'R DATA BNPL'!$E:$E,B9,'R DATA BNPL'!$F:$F,'REKAP PERFORMANCE'!$D$6)</f>
        <v>0</v>
      </c>
      <c r="E9" s="45">
        <f>SUMIFS('R DATA BNPL'!$H:$H,'R DATA BNPL'!$E:$E,DAILY[[#This Row],[Date]],'R DATA BNPL'!$F:$F,'REKAP PERFORMANCE'!$D$6)</f>
        <v>0</v>
      </c>
      <c r="F9" s="45">
        <f>SUMIFS('R DATA BNPL'!$G:$G,'R DATA BNPL'!$E:$E,B9,'R DATA BNPL'!$F:$F,'REKAP PERFORMANCE'!$F$6)</f>
        <v>17827381</v>
      </c>
      <c r="G9" s="45">
        <f>SUMIFS('R DATA BNPL'!$H:$H,'R DATA BNPL'!$E:$E,DAILY[[#This Row],[Date]],'R DATA BNPL'!$F:$F,'REKAP PERFORMANCE'!$F$6)</f>
        <v>1</v>
      </c>
      <c r="H9" s="45">
        <f>SUMIFS('R DATA BNPL'!$G:$G,'R DATA BNPL'!$E:$E,B9,'R DATA BNPL'!$F:$F,'REKAP PERFORMANCE'!$H$6)</f>
        <v>0</v>
      </c>
      <c r="I9" s="45">
        <f>SUMIFS('R DATA BNPL'!$H:$H,'R DATA BNPL'!$E:$E,DAILY[[#This Row],[Date]],'R DATA BNPL'!$F:$F,'REKAP PERFORMANCE'!$H$6)</f>
        <v>0</v>
      </c>
      <c r="J9" s="46">
        <f t="shared" si="3"/>
        <v>17827381</v>
      </c>
      <c r="K9" s="46">
        <f t="shared" si="4"/>
        <v>1</v>
      </c>
      <c r="L9" s="47">
        <f>SUMIFS('R DATA BNPL'!$G:$G,'R DATA BNPL'!$E:$E,B9,'R DATA BNPL'!$F:$F,'REKAP PERFORMANCE'!$L$6)</f>
        <v>0</v>
      </c>
      <c r="M9" s="47">
        <f>SUMIFS('R DATA BNPL'!$H:$H,'R DATA BNPL'!$E:$E,DAILY[[#This Row],[Date]],'R DATA BNPL'!$F:$F,'REKAP PERFORMANCE'!$L$6)</f>
        <v>0</v>
      </c>
      <c r="N9" s="47">
        <f>SUMIFS('R DATA BNPL'!$G:$G,'R DATA BNPL'!$E:$E,B9,'R DATA BNPL'!$F:$F,'REKAP PERFORMANCE'!$N$6)</f>
        <v>0</v>
      </c>
      <c r="O9" s="47">
        <f>SUMIFS('R DATA BNPL'!$H:$H,'R DATA BNPL'!$E:$E,DAILY[[#This Row],[Date]],'R DATA BNPL'!$F:$F,'REKAP PERFORMANCE'!$N$6)</f>
        <v>0</v>
      </c>
      <c r="P9" s="48">
        <f t="shared" si="5"/>
        <v>0</v>
      </c>
      <c r="Q9" s="48">
        <f t="shared" si="6"/>
        <v>0</v>
      </c>
      <c r="R9" s="49">
        <f>SUMIFS('R DATA BNPL'!$G:$G,'R DATA BNPL'!$E:$E,B9,'R DATA BNPL'!$F:$F,'REKAP PERFORMANCE'!$R$6)</f>
        <v>0</v>
      </c>
      <c r="S9" s="49">
        <f>SUMIFS('R DATA BNPL'!$H:$H,'R DATA BNPL'!$E:$E,DAILY[[#This Row],[Date]],'R DATA BNPL'!$F:$F,'REKAP PERFORMANCE'!$R$6)</f>
        <v>0</v>
      </c>
      <c r="T9" s="49">
        <f>SUMIFS('R DATA BNPL'!$G:$G,'R DATA BNPL'!$E:$E,B9,'R DATA BNPL'!$F:$F,'REKAP PERFORMANCE'!$T$6)</f>
        <v>0</v>
      </c>
      <c r="U9" s="49">
        <f>SUMIFS('R DATA BNPL'!$H:$H,'R DATA BNPL'!$E:$E,DAILY[[#This Row],[Date]],'R DATA BNPL'!$F:$F,'REKAP PERFORMANCE'!$T$6)</f>
        <v>0</v>
      </c>
      <c r="V9" s="50">
        <f t="shared" si="7"/>
        <v>0</v>
      </c>
      <c r="W9" s="50">
        <f t="shared" si="8"/>
        <v>0</v>
      </c>
      <c r="X9" s="47">
        <f>SUMIFS('R DATA BNPL'!$G:$G,'R DATA BNPL'!$E:$E,B9,'R DATA BNPL'!$F:$F,'REKAP PERFORMANCE'!$X$6)</f>
        <v>0</v>
      </c>
      <c r="Y9" s="47">
        <f>SUMIFS('R DATA BNPL'!$H:$H,'R DATA BNPL'!$E:$E,DAILY[[#This Row],[Date]],'R DATA BNPL'!$F:$F,'REKAP PERFORMANCE'!$X$6)</f>
        <v>0</v>
      </c>
      <c r="Z9" s="47">
        <f>SUMIFS('R DATA BNPL'!$G:$G,'R DATA BNPL'!$E:$E,B9,'R DATA BNPL'!$F:$F,'REKAP PERFORMANCE'!$Z$6)</f>
        <v>0</v>
      </c>
      <c r="AA9" s="47">
        <f>SUMIFS('R DATA BNPL'!$H:$H,'R DATA BNPL'!$E:$E,DAILY[[#This Row],[Date]],'R DATA BNPL'!$F:$F,'REKAP PERFORMANCE'!$Z$6)</f>
        <v>0</v>
      </c>
      <c r="AB9" s="48">
        <f t="shared" si="9"/>
        <v>0</v>
      </c>
      <c r="AC9" s="48">
        <f t="shared" si="10"/>
        <v>0</v>
      </c>
      <c r="AD9" s="51">
        <f>SUMIFS('R DATA BNPL'!$G:$G,'R DATA BNPL'!$E:$E,B9,'R DATA BNPL'!$F:$F,'REKAP PERFORMANCE'!$AD$6)</f>
        <v>0</v>
      </c>
      <c r="AE9" s="52">
        <f>SUMIFS('R DATA BNPL'!$H:$H,'R DATA BNPL'!$E:$E,DAILY[[#This Row],[Date]],'R DATA BNPL'!$F:$F,'REKAP PERFORMANCE'!$AD$6)</f>
        <v>0</v>
      </c>
      <c r="AF9" s="33"/>
      <c r="AG9" s="33"/>
      <c r="AH9">
        <f>SUMIFS('R DATA BNPL'!$G:$G,'R DATA BNPL'!$E:$E,B9,'R DATA BNPL'!$F:$F,'REKAP PERFORMANCE'!$AH$6)</f>
        <v>0</v>
      </c>
      <c r="AI9">
        <f>SUMIFS('R DATA BNPL'!$G:$G,'R DATA BNPL'!$E:$E,B9,'R DATA BNPL'!$F:$F,'REKAP PERFORMANCE'!$AI$6)</f>
        <v>0</v>
      </c>
      <c r="AJ9">
        <f>SUMIFS('R DATA BNPL'!$G:$G,'R DATA BNPL'!$E:$E,B9,'R DATA BNPL'!$F:$F,'REKAP PERFORMANCE'!$AJ$6)</f>
        <v>0</v>
      </c>
      <c r="AK9" s="64"/>
      <c r="AL9" s="131"/>
      <c r="AM9" s="9" t="s">
        <v>19</v>
      </c>
      <c r="AN9" s="11">
        <f>D5</f>
        <v>0</v>
      </c>
      <c r="AO9" s="11">
        <f>F5</f>
        <v>292115220</v>
      </c>
      <c r="AP9" s="11">
        <f>H5</f>
        <v>245211920</v>
      </c>
      <c r="AQ9" s="11">
        <f>L5</f>
        <v>0</v>
      </c>
      <c r="AR9" s="11">
        <f>N5</f>
        <v>0</v>
      </c>
      <c r="AS9" s="11">
        <f>R5</f>
        <v>0</v>
      </c>
      <c r="AT9" s="11">
        <f>T5</f>
        <v>0</v>
      </c>
      <c r="AU9" s="11">
        <f>X5</f>
        <v>145077000</v>
      </c>
      <c r="AV9" s="11">
        <f>Z5</f>
        <v>0</v>
      </c>
      <c r="AW9" s="11">
        <f t="shared" ref="AW9" si="13">AD5</f>
        <v>90757000</v>
      </c>
      <c r="AX9" s="64"/>
    </row>
    <row r="10" spans="1:50" ht="14.1" customHeight="1">
      <c r="A10" s="2" t="str">
        <f t="shared" si="2"/>
        <v>Jumat</v>
      </c>
      <c r="B10" s="4">
        <f t="shared" si="12"/>
        <v>46269</v>
      </c>
      <c r="C10"/>
      <c r="D10" s="45">
        <f>SUMIFS('R DATA BNPL'!$G:$G,'R DATA BNPL'!$E:$E,B10,'R DATA BNPL'!$F:$F,'REKAP PERFORMANCE'!$D$6)</f>
        <v>0</v>
      </c>
      <c r="E10" s="45">
        <f>SUMIFS('R DATA BNPL'!$H:$H,'R DATA BNPL'!$E:$E,DAILY[[#This Row],[Date]],'R DATA BNPL'!$F:$F,'REKAP PERFORMANCE'!$D$6)</f>
        <v>0</v>
      </c>
      <c r="F10" s="45">
        <f>SUMIFS('R DATA BNPL'!$G:$G,'R DATA BNPL'!$E:$E,B10,'R DATA BNPL'!$F:$F,'REKAP PERFORMANCE'!$F$6)</f>
        <v>0</v>
      </c>
      <c r="G10" s="45">
        <f>SUMIFS('R DATA BNPL'!$H:$H,'R DATA BNPL'!$E:$E,DAILY[[#This Row],[Date]],'R DATA BNPL'!$F:$F,'REKAP PERFORMANCE'!$F$6)</f>
        <v>0</v>
      </c>
      <c r="H10" s="45">
        <f>SUMIFS('R DATA BNPL'!$G:$G,'R DATA BNPL'!$E:$E,B10,'R DATA BNPL'!$F:$F,'REKAP PERFORMANCE'!$H$6)</f>
        <v>26544200</v>
      </c>
      <c r="I10" s="45">
        <f>SUMIFS('R DATA BNPL'!$H:$H,'R DATA BNPL'!$E:$E,DAILY[[#This Row],[Date]],'R DATA BNPL'!$F:$F,'REKAP PERFORMANCE'!$H$6)</f>
        <v>2</v>
      </c>
      <c r="J10" s="46">
        <f t="shared" si="3"/>
        <v>26544200</v>
      </c>
      <c r="K10" s="46">
        <f t="shared" si="4"/>
        <v>2</v>
      </c>
      <c r="L10" s="47">
        <f>SUMIFS('R DATA BNPL'!$G:$G,'R DATA BNPL'!$E:$E,B10,'R DATA BNPL'!$F:$F,'REKAP PERFORMANCE'!$L$6)</f>
        <v>0</v>
      </c>
      <c r="M10" s="47">
        <f>SUMIFS('R DATA BNPL'!$H:$H,'R DATA BNPL'!$E:$E,DAILY[[#This Row],[Date]],'R DATA BNPL'!$F:$F,'REKAP PERFORMANCE'!$L$6)</f>
        <v>0</v>
      </c>
      <c r="N10" s="47">
        <f>SUMIFS('R DATA BNPL'!$G:$G,'R DATA BNPL'!$E:$E,B10,'R DATA BNPL'!$F:$F,'REKAP PERFORMANCE'!$N$6)</f>
        <v>0</v>
      </c>
      <c r="O10" s="47">
        <f>SUMIFS('R DATA BNPL'!$H:$H,'R DATA BNPL'!$E:$E,DAILY[[#This Row],[Date]],'R DATA BNPL'!$F:$F,'REKAP PERFORMANCE'!$N$6)</f>
        <v>0</v>
      </c>
      <c r="P10" s="48">
        <f t="shared" si="5"/>
        <v>0</v>
      </c>
      <c r="Q10" s="48">
        <f t="shared" si="6"/>
        <v>0</v>
      </c>
      <c r="R10" s="49">
        <f>SUMIFS('R DATA BNPL'!$G:$G,'R DATA BNPL'!$E:$E,B10,'R DATA BNPL'!$F:$F,'REKAP PERFORMANCE'!$R$6)</f>
        <v>0</v>
      </c>
      <c r="S10" s="49">
        <f>SUMIFS('R DATA BNPL'!$H:$H,'R DATA BNPL'!$E:$E,DAILY[[#This Row],[Date]],'R DATA BNPL'!$F:$F,'REKAP PERFORMANCE'!$R$6)</f>
        <v>0</v>
      </c>
      <c r="T10" s="49">
        <f>SUMIFS('R DATA BNPL'!$G:$G,'R DATA BNPL'!$E:$E,B10,'R DATA BNPL'!$F:$F,'REKAP PERFORMANCE'!$T$6)</f>
        <v>0</v>
      </c>
      <c r="U10" s="49">
        <f>SUMIFS('R DATA BNPL'!$H:$H,'R DATA BNPL'!$E:$E,DAILY[[#This Row],[Date]],'R DATA BNPL'!$F:$F,'REKAP PERFORMANCE'!$T$6)</f>
        <v>0</v>
      </c>
      <c r="V10" s="50">
        <f t="shared" si="7"/>
        <v>0</v>
      </c>
      <c r="W10" s="50">
        <f t="shared" si="8"/>
        <v>0</v>
      </c>
      <c r="X10" s="47">
        <f>SUMIFS('R DATA BNPL'!$G:$G,'R DATA BNPL'!$E:$E,B10,'R DATA BNPL'!$F:$F,'REKAP PERFORMANCE'!$X$6)</f>
        <v>0</v>
      </c>
      <c r="Y10" s="47">
        <f>SUMIFS('R DATA BNPL'!$H:$H,'R DATA BNPL'!$E:$E,DAILY[[#This Row],[Date]],'R DATA BNPL'!$F:$F,'REKAP PERFORMANCE'!$X$6)</f>
        <v>0</v>
      </c>
      <c r="Z10" s="47">
        <f>SUMIFS('R DATA BNPL'!$G:$G,'R DATA BNPL'!$E:$E,B10,'R DATA BNPL'!$F:$F,'REKAP PERFORMANCE'!$Z$6)</f>
        <v>0</v>
      </c>
      <c r="AA10" s="47">
        <f>SUMIFS('R DATA BNPL'!$H:$H,'R DATA BNPL'!$E:$E,DAILY[[#This Row],[Date]],'R DATA BNPL'!$F:$F,'REKAP PERFORMANCE'!$Z$6)</f>
        <v>0</v>
      </c>
      <c r="AB10" s="48">
        <f t="shared" si="9"/>
        <v>0</v>
      </c>
      <c r="AC10" s="48">
        <f t="shared" si="10"/>
        <v>0</v>
      </c>
      <c r="AD10" s="51">
        <f>SUMIFS('R DATA BNPL'!$G:$G,'R DATA BNPL'!$E:$E,B10,'R DATA BNPL'!$F:$F,'REKAP PERFORMANCE'!$AD$6)</f>
        <v>17999000</v>
      </c>
      <c r="AE10" s="52">
        <f>SUMIFS('R DATA BNPL'!$H:$H,'R DATA BNPL'!$E:$E,DAILY[[#This Row],[Date]],'R DATA BNPL'!$F:$F,'REKAP PERFORMANCE'!$AD$6)</f>
        <v>1</v>
      </c>
      <c r="AF10" s="33"/>
      <c r="AG10" s="33"/>
      <c r="AH10">
        <f>SUMIFS('R DATA BNPL'!$G:$G,'R DATA BNPL'!$E:$E,B10,'R DATA BNPL'!$F:$F,'REKAP PERFORMANCE'!$AH$6)</f>
        <v>0</v>
      </c>
      <c r="AI10">
        <f>SUMIFS('R DATA BNPL'!$G:$G,'R DATA BNPL'!$E:$E,B10,'R DATA BNPL'!$F:$F,'REKAP PERFORMANCE'!$AI$6)</f>
        <v>0</v>
      </c>
      <c r="AJ10">
        <f>SUMIFS('R DATA BNPL'!$G:$G,'R DATA BNPL'!$E:$E,B10,'R DATA BNPL'!$F:$F,'REKAP PERFORMANCE'!$AJ$6)</f>
        <v>0</v>
      </c>
      <c r="AK10" s="64"/>
      <c r="AL10" s="131"/>
      <c r="AM10" s="15" t="s">
        <v>20</v>
      </c>
      <c r="AN10" s="16">
        <f t="shared" ref="AN10:AW10" si="14">AN9-AN8</f>
        <v>0</v>
      </c>
      <c r="AO10" s="5">
        <f t="shared" si="14"/>
        <v>-114134780</v>
      </c>
      <c r="AP10" s="6">
        <f t="shared" si="14"/>
        <v>-161038080</v>
      </c>
      <c r="AQ10" s="16">
        <f t="shared" si="14"/>
        <v>0</v>
      </c>
      <c r="AR10" s="6">
        <f t="shared" si="14"/>
        <v>0</v>
      </c>
      <c r="AS10" s="16">
        <f t="shared" si="14"/>
        <v>0</v>
      </c>
      <c r="AT10" s="6">
        <f t="shared" si="14"/>
        <v>0</v>
      </c>
      <c r="AU10" s="16">
        <f t="shared" si="14"/>
        <v>-342423000</v>
      </c>
      <c r="AV10" s="6">
        <f t="shared" si="14"/>
        <v>0</v>
      </c>
      <c r="AW10" s="6">
        <f t="shared" si="14"/>
        <v>-234243000</v>
      </c>
      <c r="AX10" s="64"/>
    </row>
    <row r="11" spans="1:50" ht="14.1" customHeight="1">
      <c r="A11" s="2" t="str">
        <f t="shared" si="2"/>
        <v>Sabtu</v>
      </c>
      <c r="B11" s="4">
        <f t="shared" si="12"/>
        <v>46270</v>
      </c>
      <c r="C11"/>
      <c r="D11" s="45">
        <f>SUMIFS('R DATA BNPL'!$G:$G,'R DATA BNPL'!$E:$E,B11,'R DATA BNPL'!$F:$F,'REKAP PERFORMANCE'!$D$6)</f>
        <v>0</v>
      </c>
      <c r="E11" s="45">
        <f>SUMIFS('R DATA BNPL'!$H:$H,'R DATA BNPL'!$E:$E,DAILY[[#This Row],[Date]],'R DATA BNPL'!$F:$F,'REKAP PERFORMANCE'!$D$6)</f>
        <v>0</v>
      </c>
      <c r="F11" s="45">
        <f>SUMIFS('R DATA BNPL'!$G:$G,'R DATA BNPL'!$E:$E,B11,'R DATA BNPL'!$F:$F,'REKAP PERFORMANCE'!$F$6)</f>
        <v>36812480</v>
      </c>
      <c r="G11" s="45">
        <f>SUMIFS('R DATA BNPL'!$H:$H,'R DATA BNPL'!$E:$E,DAILY[[#This Row],[Date]],'R DATA BNPL'!$F:$F,'REKAP PERFORMANCE'!$F$6)</f>
        <v>1</v>
      </c>
      <c r="H11" s="45">
        <f>SUMIFS('R DATA BNPL'!$G:$G,'R DATA BNPL'!$E:$E,B11,'R DATA BNPL'!$F:$F,'REKAP PERFORMANCE'!$H$6)</f>
        <v>43860260</v>
      </c>
      <c r="I11" s="45">
        <f>SUMIFS('R DATA BNPL'!$H:$H,'R DATA BNPL'!$E:$E,DAILY[[#This Row],[Date]],'R DATA BNPL'!$F:$F,'REKAP PERFORMANCE'!$H$6)</f>
        <v>2</v>
      </c>
      <c r="J11" s="46">
        <f t="shared" si="3"/>
        <v>80672740</v>
      </c>
      <c r="K11" s="46">
        <f t="shared" si="4"/>
        <v>3</v>
      </c>
      <c r="L11" s="47">
        <f>SUMIFS('R DATA BNPL'!$G:$G,'R DATA BNPL'!$E:$E,B11,'R DATA BNPL'!$F:$F,'REKAP PERFORMANCE'!$L$6)</f>
        <v>0</v>
      </c>
      <c r="M11" s="47">
        <f>SUMIFS('R DATA BNPL'!$H:$H,'R DATA BNPL'!$E:$E,DAILY[[#This Row],[Date]],'R DATA BNPL'!$F:$F,'REKAP PERFORMANCE'!$L$6)</f>
        <v>0</v>
      </c>
      <c r="N11" s="47">
        <f>SUMIFS('R DATA BNPL'!$G:$G,'R DATA BNPL'!$E:$E,B11,'R DATA BNPL'!$F:$F,'REKAP PERFORMANCE'!$N$6)</f>
        <v>0</v>
      </c>
      <c r="O11" s="47">
        <f>SUMIFS('R DATA BNPL'!$H:$H,'R DATA BNPL'!$E:$E,DAILY[[#This Row],[Date]],'R DATA BNPL'!$F:$F,'REKAP PERFORMANCE'!$N$6)</f>
        <v>0</v>
      </c>
      <c r="P11" s="48">
        <f t="shared" si="5"/>
        <v>0</v>
      </c>
      <c r="Q11" s="48">
        <f t="shared" si="6"/>
        <v>0</v>
      </c>
      <c r="R11" s="49">
        <f>SUMIFS('R DATA BNPL'!$G:$G,'R DATA BNPL'!$E:$E,B11,'R DATA BNPL'!$F:$F,'REKAP PERFORMANCE'!$R$6)</f>
        <v>0</v>
      </c>
      <c r="S11" s="49">
        <f>SUMIFS('R DATA BNPL'!$H:$H,'R DATA BNPL'!$E:$E,DAILY[[#This Row],[Date]],'R DATA BNPL'!$F:$F,'REKAP PERFORMANCE'!$R$6)</f>
        <v>0</v>
      </c>
      <c r="T11" s="49">
        <f>SUMIFS('R DATA BNPL'!$G:$G,'R DATA BNPL'!$E:$E,B11,'R DATA BNPL'!$F:$F,'REKAP PERFORMANCE'!$T$6)</f>
        <v>0</v>
      </c>
      <c r="U11" s="49">
        <f>SUMIFS('R DATA BNPL'!$H:$H,'R DATA BNPL'!$E:$E,DAILY[[#This Row],[Date]],'R DATA BNPL'!$F:$F,'REKAP PERFORMANCE'!$T$6)</f>
        <v>0</v>
      </c>
      <c r="V11" s="50">
        <f t="shared" si="7"/>
        <v>0</v>
      </c>
      <c r="W11" s="50">
        <f t="shared" si="8"/>
        <v>0</v>
      </c>
      <c r="X11" s="47">
        <f>SUMIFS('R DATA BNPL'!$G:$G,'R DATA BNPL'!$E:$E,B11,'R DATA BNPL'!$F:$F,'REKAP PERFORMANCE'!$X$6)</f>
        <v>17208000</v>
      </c>
      <c r="Y11" s="47">
        <f>SUMIFS('R DATA BNPL'!$H:$H,'R DATA BNPL'!$E:$E,DAILY[[#This Row],[Date]],'R DATA BNPL'!$F:$F,'REKAP PERFORMANCE'!$X$6)</f>
        <v>1</v>
      </c>
      <c r="Z11" s="47">
        <f>SUMIFS('R DATA BNPL'!$G:$G,'R DATA BNPL'!$E:$E,B11,'R DATA BNPL'!$F:$F,'REKAP PERFORMANCE'!$Z$6)</f>
        <v>0</v>
      </c>
      <c r="AA11" s="47">
        <f>SUMIFS('R DATA BNPL'!$H:$H,'R DATA BNPL'!$E:$E,DAILY[[#This Row],[Date]],'R DATA BNPL'!$F:$F,'REKAP PERFORMANCE'!$Z$6)</f>
        <v>0</v>
      </c>
      <c r="AB11" s="48">
        <f t="shared" si="9"/>
        <v>17208000</v>
      </c>
      <c r="AC11" s="48">
        <f t="shared" si="10"/>
        <v>1</v>
      </c>
      <c r="AD11" s="51">
        <f>SUMIFS('R DATA BNPL'!$G:$G,'R DATA BNPL'!$E:$E,B11,'R DATA BNPL'!$F:$F,'REKAP PERFORMANCE'!$AD$6)</f>
        <v>16749000</v>
      </c>
      <c r="AE11" s="52">
        <f>SUMIFS('R DATA BNPL'!$H:$H,'R DATA BNPL'!$E:$E,DAILY[[#This Row],[Date]],'R DATA BNPL'!$F:$F,'REKAP PERFORMANCE'!$AD$6)</f>
        <v>1</v>
      </c>
      <c r="AF11" s="33"/>
      <c r="AG11" s="33"/>
      <c r="AH11">
        <f>SUMIFS('R DATA BNPL'!$G:$G,'R DATA BNPL'!$E:$E,B11,'R DATA BNPL'!$F:$F,'REKAP PERFORMANCE'!$AH$6)</f>
        <v>0</v>
      </c>
      <c r="AI11">
        <f>SUMIFS('R DATA BNPL'!$G:$G,'R DATA BNPL'!$E:$E,B11,'R DATA BNPL'!$F:$F,'REKAP PERFORMANCE'!$AI$6)</f>
        <v>0</v>
      </c>
      <c r="AJ11">
        <f>SUMIFS('R DATA BNPL'!$G:$G,'R DATA BNPL'!$E:$E,B11,'R DATA BNPL'!$F:$F,'REKAP PERFORMANCE'!$AJ$6)</f>
        <v>0</v>
      </c>
      <c r="AK11" s="64"/>
      <c r="AL11" s="131"/>
      <c r="AM11" s="9" t="s">
        <v>21</v>
      </c>
      <c r="AN11" s="17">
        <f t="shared" ref="AN11:AW11" si="15">IFERROR(AN9/AN8,0)</f>
        <v>0</v>
      </c>
      <c r="AO11" s="18">
        <f t="shared" si="15"/>
        <v>0.71905284923076918</v>
      </c>
      <c r="AP11" s="19">
        <f t="shared" si="15"/>
        <v>0.60359857230769232</v>
      </c>
      <c r="AQ11" s="17">
        <f t="shared" si="15"/>
        <v>0</v>
      </c>
      <c r="AR11" s="19">
        <f t="shared" si="15"/>
        <v>0</v>
      </c>
      <c r="AS11" s="17">
        <f t="shared" si="15"/>
        <v>0</v>
      </c>
      <c r="AT11" s="19">
        <f t="shared" si="15"/>
        <v>0</v>
      </c>
      <c r="AU11" s="17">
        <f t="shared" si="15"/>
        <v>0.29759384615384615</v>
      </c>
      <c r="AV11" s="19">
        <f t="shared" si="15"/>
        <v>0</v>
      </c>
      <c r="AW11" s="19">
        <f t="shared" si="15"/>
        <v>0.27925230769230769</v>
      </c>
      <c r="AX11" s="64"/>
    </row>
    <row r="12" spans="1:50" ht="14.1" customHeight="1">
      <c r="A12" s="2" t="str">
        <f t="shared" si="2"/>
        <v>Minggu</v>
      </c>
      <c r="B12" s="4">
        <f t="shared" si="12"/>
        <v>46271</v>
      </c>
      <c r="C12"/>
      <c r="D12" s="45">
        <f>SUMIFS('R DATA BNPL'!$G:$G,'R DATA BNPL'!$E:$E,B12,'R DATA BNPL'!$F:$F,'REKAP PERFORMANCE'!$D$6)</f>
        <v>0</v>
      </c>
      <c r="E12" s="45">
        <f>SUMIFS('R DATA BNPL'!$H:$H,'R DATA BNPL'!$E:$E,DAILY[[#This Row],[Date]],'R DATA BNPL'!$F:$F,'REKAP PERFORMANCE'!$D$6)</f>
        <v>0</v>
      </c>
      <c r="F12" s="45">
        <f>SUMIFS('R DATA BNPL'!$G:$G,'R DATA BNPL'!$E:$E,B12,'R DATA BNPL'!$F:$F,'REKAP PERFORMANCE'!$F$6)</f>
        <v>47851980</v>
      </c>
      <c r="G12" s="45">
        <f>SUMIFS('R DATA BNPL'!$H:$H,'R DATA BNPL'!$E:$E,DAILY[[#This Row],[Date]],'R DATA BNPL'!$F:$F,'REKAP PERFORMANCE'!$F$6)</f>
        <v>3</v>
      </c>
      <c r="H12" s="45">
        <f>SUMIFS('R DATA BNPL'!$G:$G,'R DATA BNPL'!$E:$E,B12,'R DATA BNPL'!$F:$F,'REKAP PERFORMANCE'!$H$6)</f>
        <v>0</v>
      </c>
      <c r="I12" s="45">
        <f>SUMIFS('R DATA BNPL'!$H:$H,'R DATA BNPL'!$E:$E,DAILY[[#This Row],[Date]],'R DATA BNPL'!$F:$F,'REKAP PERFORMANCE'!$H$6)</f>
        <v>0</v>
      </c>
      <c r="J12" s="46">
        <f t="shared" si="3"/>
        <v>47851980</v>
      </c>
      <c r="K12" s="46">
        <f t="shared" si="4"/>
        <v>3</v>
      </c>
      <c r="L12" s="47">
        <f>SUMIFS('R DATA BNPL'!$G:$G,'R DATA BNPL'!$E:$E,B12,'R DATA BNPL'!$F:$F,'REKAP PERFORMANCE'!$L$6)</f>
        <v>0</v>
      </c>
      <c r="M12" s="47">
        <f>SUMIFS('R DATA BNPL'!$H:$H,'R DATA BNPL'!$E:$E,DAILY[[#This Row],[Date]],'R DATA BNPL'!$F:$F,'REKAP PERFORMANCE'!$L$6)</f>
        <v>0</v>
      </c>
      <c r="N12" s="47">
        <f>SUMIFS('R DATA BNPL'!$G:$G,'R DATA BNPL'!$E:$E,B12,'R DATA BNPL'!$F:$F,'REKAP PERFORMANCE'!$N$6)</f>
        <v>0</v>
      </c>
      <c r="O12" s="47">
        <f>SUMIFS('R DATA BNPL'!$H:$H,'R DATA BNPL'!$E:$E,DAILY[[#This Row],[Date]],'R DATA BNPL'!$F:$F,'REKAP PERFORMANCE'!$N$6)</f>
        <v>0</v>
      </c>
      <c r="P12" s="48">
        <f t="shared" si="5"/>
        <v>0</v>
      </c>
      <c r="Q12" s="48">
        <f t="shared" si="6"/>
        <v>0</v>
      </c>
      <c r="R12" s="49">
        <f>SUMIFS('R DATA BNPL'!$G:$G,'R DATA BNPL'!$E:$E,B12,'R DATA BNPL'!$F:$F,'REKAP PERFORMANCE'!$R$6)</f>
        <v>0</v>
      </c>
      <c r="S12" s="49">
        <f>SUMIFS('R DATA BNPL'!$H:$H,'R DATA BNPL'!$E:$E,DAILY[[#This Row],[Date]],'R DATA BNPL'!$F:$F,'REKAP PERFORMANCE'!$R$6)</f>
        <v>0</v>
      </c>
      <c r="T12" s="49">
        <f>SUMIFS('R DATA BNPL'!$G:$G,'R DATA BNPL'!$E:$E,B12,'R DATA BNPL'!$F:$F,'REKAP PERFORMANCE'!$T$6)</f>
        <v>0</v>
      </c>
      <c r="U12" s="49">
        <f>SUMIFS('R DATA BNPL'!$H:$H,'R DATA BNPL'!$E:$E,DAILY[[#This Row],[Date]],'R DATA BNPL'!$F:$F,'REKAP PERFORMANCE'!$T$6)</f>
        <v>0</v>
      </c>
      <c r="V12" s="50">
        <f t="shared" si="7"/>
        <v>0</v>
      </c>
      <c r="W12" s="50">
        <f t="shared" si="8"/>
        <v>0</v>
      </c>
      <c r="X12" s="47">
        <f>SUMIFS('R DATA BNPL'!$G:$G,'R DATA BNPL'!$E:$E,B12,'R DATA BNPL'!$F:$F,'REKAP PERFORMANCE'!$X$6)</f>
        <v>13909000</v>
      </c>
      <c r="Y12" s="47">
        <f>SUMIFS('R DATA BNPL'!$H:$H,'R DATA BNPL'!$E:$E,DAILY[[#This Row],[Date]],'R DATA BNPL'!$F:$F,'REKAP PERFORMANCE'!$X$6)</f>
        <v>1</v>
      </c>
      <c r="Z12" s="47">
        <f>SUMIFS('R DATA BNPL'!$G:$G,'R DATA BNPL'!$E:$E,B12,'R DATA BNPL'!$F:$F,'REKAP PERFORMANCE'!$Z$6)</f>
        <v>0</v>
      </c>
      <c r="AA12" s="47">
        <f>SUMIFS('R DATA BNPL'!$H:$H,'R DATA BNPL'!$E:$E,DAILY[[#This Row],[Date]],'R DATA BNPL'!$F:$F,'REKAP PERFORMANCE'!$Z$6)</f>
        <v>0</v>
      </c>
      <c r="AB12" s="48">
        <f t="shared" si="9"/>
        <v>13909000</v>
      </c>
      <c r="AC12" s="48">
        <f t="shared" si="10"/>
        <v>1</v>
      </c>
      <c r="AD12" s="51">
        <f>SUMIFS('R DATA BNPL'!$G:$G,'R DATA BNPL'!$E:$E,B12,'R DATA BNPL'!$F:$F,'REKAP PERFORMANCE'!$AD$6)</f>
        <v>0</v>
      </c>
      <c r="AE12" s="52">
        <f>SUMIFS('R DATA BNPL'!$H:$H,'R DATA BNPL'!$E:$E,DAILY[[#This Row],[Date]],'R DATA BNPL'!$F:$F,'REKAP PERFORMANCE'!$AD$6)</f>
        <v>0</v>
      </c>
      <c r="AF12" s="33"/>
      <c r="AG12" s="33"/>
      <c r="AH12">
        <f>SUMIFS('R DATA BNPL'!$G:$G,'R DATA BNPL'!$E:$E,B12,'R DATA BNPL'!$F:$F,'REKAP PERFORMANCE'!$AH$6)</f>
        <v>0</v>
      </c>
      <c r="AI12">
        <f>SUMIFS('R DATA BNPL'!$G:$G,'R DATA BNPL'!$E:$E,B12,'R DATA BNPL'!$F:$F,'REKAP PERFORMANCE'!$AI$6)</f>
        <v>0</v>
      </c>
      <c r="AJ12">
        <f>SUMIFS('R DATA BNPL'!$G:$G,'R DATA BNPL'!$E:$E,B12,'R DATA BNPL'!$F:$F,'REKAP PERFORMANCE'!$AJ$6)</f>
        <v>0</v>
      </c>
      <c r="AK12" s="64"/>
      <c r="AL12" s="131"/>
      <c r="AM12" s="9" t="s">
        <v>22</v>
      </c>
      <c r="AN12" s="123">
        <f>IFERROR(AN13/AM5,0)</f>
        <v>0.19756129100242198</v>
      </c>
      <c r="AO12" s="124"/>
      <c r="AP12" s="125"/>
      <c r="AQ12" s="126"/>
      <c r="AR12" s="127"/>
      <c r="AS12" s="126"/>
      <c r="AT12" s="127"/>
      <c r="AU12" s="128">
        <f>IFERROR(AU13/AM5,0)</f>
        <v>5.3341060372938495E-2</v>
      </c>
      <c r="AV12" s="129"/>
      <c r="AW12" s="20">
        <f>IFERROR(AW13/AM5,0)</f>
        <v>3.3369001401095826E-2</v>
      </c>
      <c r="AX12" s="64"/>
    </row>
    <row r="13" spans="1:50" ht="14.1" customHeight="1">
      <c r="A13" s="2" t="str">
        <f t="shared" si="2"/>
        <v>Senin</v>
      </c>
      <c r="B13" s="4">
        <f t="shared" si="12"/>
        <v>46272</v>
      </c>
      <c r="C13"/>
      <c r="D13" s="45">
        <f>SUMIFS('R DATA BNPL'!$G:$G,'R DATA BNPL'!$E:$E,B13,'R DATA BNPL'!$F:$F,'REKAP PERFORMANCE'!$D$6)</f>
        <v>0</v>
      </c>
      <c r="E13" s="45">
        <f>SUMIFS('R DATA BNPL'!$H:$H,'R DATA BNPL'!$E:$E,DAILY[[#This Row],[Date]],'R DATA BNPL'!$F:$F,'REKAP PERFORMANCE'!$D$6)</f>
        <v>0</v>
      </c>
      <c r="F13" s="45">
        <f>SUMIFS('R DATA BNPL'!$G:$G,'R DATA BNPL'!$E:$E,B13,'R DATA BNPL'!$F:$F,'REKAP PERFORMANCE'!$F$6)</f>
        <v>11019100</v>
      </c>
      <c r="G13" s="45">
        <f>SUMIFS('R DATA BNPL'!$H:$H,'R DATA BNPL'!$E:$E,DAILY[[#This Row],[Date]],'R DATA BNPL'!$F:$F,'REKAP PERFORMANCE'!$F$6)</f>
        <v>2</v>
      </c>
      <c r="H13" s="45">
        <f>SUMIFS('R DATA BNPL'!$G:$G,'R DATA BNPL'!$E:$E,B13,'R DATA BNPL'!$F:$F,'REKAP PERFORMANCE'!$H$6)</f>
        <v>0</v>
      </c>
      <c r="I13" s="45">
        <f>SUMIFS('R DATA BNPL'!$H:$H,'R DATA BNPL'!$E:$E,DAILY[[#This Row],[Date]],'R DATA BNPL'!$F:$F,'REKAP PERFORMANCE'!$H$6)</f>
        <v>0</v>
      </c>
      <c r="J13" s="46">
        <f t="shared" si="3"/>
        <v>11019100</v>
      </c>
      <c r="K13" s="46">
        <f t="shared" si="4"/>
        <v>2</v>
      </c>
      <c r="L13" s="47">
        <f>SUMIFS('R DATA BNPL'!$G:$G,'R DATA BNPL'!$E:$E,B13,'R DATA BNPL'!$F:$F,'REKAP PERFORMANCE'!$L$6)</f>
        <v>0</v>
      </c>
      <c r="M13" s="47">
        <f>SUMIFS('R DATA BNPL'!$H:$H,'R DATA BNPL'!$E:$E,DAILY[[#This Row],[Date]],'R DATA BNPL'!$F:$F,'REKAP PERFORMANCE'!$L$6)</f>
        <v>0</v>
      </c>
      <c r="N13" s="47">
        <f>SUMIFS('R DATA BNPL'!$G:$G,'R DATA BNPL'!$E:$E,B13,'R DATA BNPL'!$F:$F,'REKAP PERFORMANCE'!$N$6)</f>
        <v>0</v>
      </c>
      <c r="O13" s="47">
        <f>SUMIFS('R DATA BNPL'!$H:$H,'R DATA BNPL'!$E:$E,DAILY[[#This Row],[Date]],'R DATA BNPL'!$F:$F,'REKAP PERFORMANCE'!$N$6)</f>
        <v>0</v>
      </c>
      <c r="P13" s="48">
        <f t="shared" si="5"/>
        <v>0</v>
      </c>
      <c r="Q13" s="48">
        <f t="shared" si="6"/>
        <v>0</v>
      </c>
      <c r="R13" s="49">
        <f>SUMIFS('R DATA BNPL'!$G:$G,'R DATA BNPL'!$E:$E,B13,'R DATA BNPL'!$F:$F,'REKAP PERFORMANCE'!$R$6)</f>
        <v>0</v>
      </c>
      <c r="S13" s="49">
        <f>SUMIFS('R DATA BNPL'!$H:$H,'R DATA BNPL'!$E:$E,DAILY[[#This Row],[Date]],'R DATA BNPL'!$F:$F,'REKAP PERFORMANCE'!$R$6)</f>
        <v>0</v>
      </c>
      <c r="T13" s="49">
        <f>SUMIFS('R DATA BNPL'!$G:$G,'R DATA BNPL'!$E:$E,B13,'R DATA BNPL'!$F:$F,'REKAP PERFORMANCE'!$T$6)</f>
        <v>0</v>
      </c>
      <c r="U13" s="49">
        <f>SUMIFS('R DATA BNPL'!$H:$H,'R DATA BNPL'!$E:$E,DAILY[[#This Row],[Date]],'R DATA BNPL'!$F:$F,'REKAP PERFORMANCE'!$T$6)</f>
        <v>0</v>
      </c>
      <c r="V13" s="50">
        <f t="shared" si="7"/>
        <v>0</v>
      </c>
      <c r="W13" s="50">
        <f t="shared" si="8"/>
        <v>0</v>
      </c>
      <c r="X13" s="47">
        <f>SUMIFS('R DATA BNPL'!$G:$G,'R DATA BNPL'!$E:$E,B13,'R DATA BNPL'!$F:$F,'REKAP PERFORMANCE'!$X$6)</f>
        <v>0</v>
      </c>
      <c r="Y13" s="47">
        <f>SUMIFS('R DATA BNPL'!$H:$H,'R DATA BNPL'!$E:$E,DAILY[[#This Row],[Date]],'R DATA BNPL'!$F:$F,'REKAP PERFORMANCE'!$X$6)</f>
        <v>0</v>
      </c>
      <c r="Z13" s="47">
        <f>SUMIFS('R DATA BNPL'!$G:$G,'R DATA BNPL'!$E:$E,B13,'R DATA BNPL'!$F:$F,'REKAP PERFORMANCE'!$Z$6)</f>
        <v>0</v>
      </c>
      <c r="AA13" s="47">
        <f>SUMIFS('R DATA BNPL'!$H:$H,'R DATA BNPL'!$E:$E,DAILY[[#This Row],[Date]],'R DATA BNPL'!$F:$F,'REKAP PERFORMANCE'!$Z$6)</f>
        <v>0</v>
      </c>
      <c r="AB13" s="48">
        <f t="shared" si="9"/>
        <v>0</v>
      </c>
      <c r="AC13" s="48">
        <f t="shared" si="10"/>
        <v>0</v>
      </c>
      <c r="AD13" s="51">
        <f>SUMIFS('R DATA BNPL'!$G:$G,'R DATA BNPL'!$E:$E,B13,'R DATA BNPL'!$F:$F,'REKAP PERFORMANCE'!$AD$6)</f>
        <v>18163000</v>
      </c>
      <c r="AE13" s="52">
        <f>SUMIFS('R DATA BNPL'!$H:$H,'R DATA BNPL'!$E:$E,DAILY[[#This Row],[Date]],'R DATA BNPL'!$F:$F,'REKAP PERFORMANCE'!$AD$6)</f>
        <v>2</v>
      </c>
      <c r="AF13" s="33"/>
      <c r="AG13" s="33"/>
      <c r="AH13">
        <f>SUMIFS('R DATA BNPL'!$G:$G,'R DATA BNPL'!$E:$E,B13,'R DATA BNPL'!$F:$F,'REKAP PERFORMANCE'!$AH$6)</f>
        <v>0</v>
      </c>
      <c r="AI13">
        <f>SUMIFS('R DATA BNPL'!$G:$G,'R DATA BNPL'!$E:$E,B13,'R DATA BNPL'!$F:$F,'REKAP PERFORMANCE'!$AI$6)</f>
        <v>0</v>
      </c>
      <c r="AJ13">
        <f>SUMIFS('R DATA BNPL'!$G:$G,'R DATA BNPL'!$E:$E,B13,'R DATA BNPL'!$F:$F,'REKAP PERFORMANCE'!$AJ$6)</f>
        <v>0</v>
      </c>
      <c r="AK13" s="64"/>
      <c r="AL13" s="131"/>
      <c r="AM13" s="9" t="s">
        <v>23</v>
      </c>
      <c r="AN13" s="110">
        <f>SUM(AN9:AP9)</f>
        <v>537327140</v>
      </c>
      <c r="AO13" s="135"/>
      <c r="AP13" s="111"/>
      <c r="AQ13" s="81">
        <f>AQ9+AR9</f>
        <v>0</v>
      </c>
      <c r="AR13" s="82"/>
      <c r="AS13" s="81">
        <f>AS9+AT9</f>
        <v>0</v>
      </c>
      <c r="AT13" s="82"/>
      <c r="AU13" s="110">
        <f>SUM(AU9:AV9)</f>
        <v>145077000</v>
      </c>
      <c r="AV13" s="111"/>
      <c r="AW13" s="21">
        <f>AW9</f>
        <v>90757000</v>
      </c>
      <c r="AX13" s="64"/>
    </row>
    <row r="14" spans="1:50" ht="14.1" customHeight="1">
      <c r="A14" s="2" t="str">
        <f t="shared" si="2"/>
        <v>Selasa</v>
      </c>
      <c r="B14" s="4">
        <f t="shared" si="12"/>
        <v>46273</v>
      </c>
      <c r="C14"/>
      <c r="D14" s="45">
        <f>SUMIFS('R DATA BNPL'!$G:$G,'R DATA BNPL'!$E:$E,B14,'R DATA BNPL'!$F:$F,'REKAP PERFORMANCE'!$D$6)</f>
        <v>0</v>
      </c>
      <c r="E14" s="45">
        <f>SUMIFS('R DATA BNPL'!$H:$H,'R DATA BNPL'!$E:$E,DAILY[[#This Row],[Date]],'R DATA BNPL'!$F:$F,'REKAP PERFORMANCE'!$D$6)</f>
        <v>0</v>
      </c>
      <c r="F14" s="45">
        <f>SUMIFS('R DATA BNPL'!$G:$G,'R DATA BNPL'!$E:$E,B14,'R DATA BNPL'!$F:$F,'REKAP PERFORMANCE'!$F$6)</f>
        <v>0</v>
      </c>
      <c r="G14" s="45">
        <f>SUMIFS('R DATA BNPL'!$H:$H,'R DATA BNPL'!$E:$E,DAILY[[#This Row],[Date]],'R DATA BNPL'!$F:$F,'REKAP PERFORMANCE'!$F$6)</f>
        <v>0</v>
      </c>
      <c r="H14" s="45">
        <f>SUMIFS('R DATA BNPL'!$G:$G,'R DATA BNPL'!$E:$E,B14,'R DATA BNPL'!$F:$F,'REKAP PERFORMANCE'!$H$6)</f>
        <v>12524000</v>
      </c>
      <c r="I14" s="45">
        <f>SUMIFS('R DATA BNPL'!$H:$H,'R DATA BNPL'!$E:$E,DAILY[[#This Row],[Date]],'R DATA BNPL'!$F:$F,'REKAP PERFORMANCE'!$H$6)</f>
        <v>1</v>
      </c>
      <c r="J14" s="46">
        <f t="shared" si="3"/>
        <v>12524000</v>
      </c>
      <c r="K14" s="46">
        <f t="shared" si="4"/>
        <v>1</v>
      </c>
      <c r="L14" s="47">
        <f>SUMIFS('R DATA BNPL'!$G:$G,'R DATA BNPL'!$E:$E,B14,'R DATA BNPL'!$F:$F,'REKAP PERFORMANCE'!$L$6)</f>
        <v>0</v>
      </c>
      <c r="M14" s="47">
        <f>SUMIFS('R DATA BNPL'!$H:$H,'R DATA BNPL'!$E:$E,DAILY[[#This Row],[Date]],'R DATA BNPL'!$F:$F,'REKAP PERFORMANCE'!$L$6)</f>
        <v>0</v>
      </c>
      <c r="N14" s="47">
        <f>SUMIFS('R DATA BNPL'!$G:$G,'R DATA BNPL'!$E:$E,B14,'R DATA BNPL'!$F:$F,'REKAP PERFORMANCE'!$N$6)</f>
        <v>0</v>
      </c>
      <c r="O14" s="47">
        <f>SUMIFS('R DATA BNPL'!$H:$H,'R DATA BNPL'!$E:$E,DAILY[[#This Row],[Date]],'R DATA BNPL'!$F:$F,'REKAP PERFORMANCE'!$N$6)</f>
        <v>0</v>
      </c>
      <c r="P14" s="48">
        <f t="shared" si="5"/>
        <v>0</v>
      </c>
      <c r="Q14" s="48">
        <f t="shared" si="6"/>
        <v>0</v>
      </c>
      <c r="R14" s="49">
        <f>SUMIFS('R DATA BNPL'!$G:$G,'R DATA BNPL'!$E:$E,B14,'R DATA BNPL'!$F:$F,'REKAP PERFORMANCE'!$R$6)</f>
        <v>0</v>
      </c>
      <c r="S14" s="49">
        <f>SUMIFS('R DATA BNPL'!$H:$H,'R DATA BNPL'!$E:$E,DAILY[[#This Row],[Date]],'R DATA BNPL'!$F:$F,'REKAP PERFORMANCE'!$R$6)</f>
        <v>0</v>
      </c>
      <c r="T14" s="49">
        <f>SUMIFS('R DATA BNPL'!$G:$G,'R DATA BNPL'!$E:$E,B14,'R DATA BNPL'!$F:$F,'REKAP PERFORMANCE'!$T$6)</f>
        <v>0</v>
      </c>
      <c r="U14" s="49">
        <f>SUMIFS('R DATA BNPL'!$H:$H,'R DATA BNPL'!$E:$E,DAILY[[#This Row],[Date]],'R DATA BNPL'!$F:$F,'REKAP PERFORMANCE'!$T$6)</f>
        <v>0</v>
      </c>
      <c r="V14" s="50">
        <f t="shared" si="7"/>
        <v>0</v>
      </c>
      <c r="W14" s="50">
        <f t="shared" si="8"/>
        <v>0</v>
      </c>
      <c r="X14" s="47">
        <f>SUMIFS('R DATA BNPL'!$G:$G,'R DATA BNPL'!$E:$E,B14,'R DATA BNPL'!$F:$F,'REKAP PERFORMANCE'!$X$6)</f>
        <v>14009000</v>
      </c>
      <c r="Y14" s="47">
        <f>SUMIFS('R DATA BNPL'!$H:$H,'R DATA BNPL'!$E:$E,DAILY[[#This Row],[Date]],'R DATA BNPL'!$F:$F,'REKAP PERFORMANCE'!$X$6)</f>
        <v>1</v>
      </c>
      <c r="Z14" s="47">
        <f>SUMIFS('R DATA BNPL'!$G:$G,'R DATA BNPL'!$E:$E,B14,'R DATA BNPL'!$F:$F,'REKAP PERFORMANCE'!$Z$6)</f>
        <v>0</v>
      </c>
      <c r="AA14" s="47">
        <f>SUMIFS('R DATA BNPL'!$H:$H,'R DATA BNPL'!$E:$E,DAILY[[#This Row],[Date]],'R DATA BNPL'!$F:$F,'REKAP PERFORMANCE'!$Z$6)</f>
        <v>0</v>
      </c>
      <c r="AB14" s="48">
        <f t="shared" si="9"/>
        <v>14009000</v>
      </c>
      <c r="AC14" s="48">
        <f t="shared" si="10"/>
        <v>1</v>
      </c>
      <c r="AD14" s="51">
        <f>SUMIFS('R DATA BNPL'!$G:$G,'R DATA BNPL'!$E:$E,B14,'R DATA BNPL'!$F:$F,'REKAP PERFORMANCE'!$AD$6)</f>
        <v>7299000</v>
      </c>
      <c r="AE14" s="52">
        <f>SUMIFS('R DATA BNPL'!$H:$H,'R DATA BNPL'!$E:$E,DAILY[[#This Row],[Date]],'R DATA BNPL'!$F:$F,'REKAP PERFORMANCE'!$AD$6)</f>
        <v>1</v>
      </c>
      <c r="AF14" s="33"/>
      <c r="AG14" s="33"/>
      <c r="AH14">
        <f>SUMIFS('R DATA BNPL'!$G:$G,'R DATA BNPL'!$E:$E,B14,'R DATA BNPL'!$F:$F,'REKAP PERFORMANCE'!$AH$6)</f>
        <v>0</v>
      </c>
      <c r="AI14">
        <f>SUMIFS('R DATA BNPL'!$G:$G,'R DATA BNPL'!$E:$E,B14,'R DATA BNPL'!$F:$F,'REKAP PERFORMANCE'!$AI$6)</f>
        <v>0</v>
      </c>
      <c r="AJ14">
        <f>SUMIFS('R DATA BNPL'!$G:$G,'R DATA BNPL'!$E:$E,B14,'R DATA BNPL'!$F:$F,'REKAP PERFORMANCE'!$AJ$6)</f>
        <v>0</v>
      </c>
      <c r="AK14" s="64"/>
      <c r="AL14" s="131"/>
      <c r="AM14" s="9" t="s">
        <v>24</v>
      </c>
      <c r="AN14" s="67">
        <v>0</v>
      </c>
      <c r="AO14" s="66">
        <v>0.5</v>
      </c>
      <c r="AP14" s="66">
        <v>0.5</v>
      </c>
      <c r="AQ14" s="12"/>
      <c r="AR14" s="13"/>
      <c r="AS14" s="12"/>
      <c r="AT14" s="13"/>
      <c r="AU14" s="67">
        <v>1</v>
      </c>
      <c r="AV14" s="13"/>
      <c r="AW14" s="68">
        <v>1</v>
      </c>
      <c r="AX14" s="64"/>
    </row>
    <row r="15" spans="1:50" ht="14.1" customHeight="1">
      <c r="A15" s="2" t="str">
        <f t="shared" si="2"/>
        <v>Rabu</v>
      </c>
      <c r="B15" s="4">
        <f t="shared" si="12"/>
        <v>46274</v>
      </c>
      <c r="C15"/>
      <c r="D15" s="45">
        <f>SUMIFS('R DATA BNPL'!$G:$G,'R DATA BNPL'!$E:$E,B15,'R DATA BNPL'!$F:$F,'REKAP PERFORMANCE'!$D$6)</f>
        <v>0</v>
      </c>
      <c r="E15" s="45">
        <f>SUMIFS('R DATA BNPL'!$H:$H,'R DATA BNPL'!$E:$E,DAILY[[#This Row],[Date]],'R DATA BNPL'!$F:$F,'REKAP PERFORMANCE'!$D$6)</f>
        <v>0</v>
      </c>
      <c r="F15" s="45">
        <f>SUMIFS('R DATA BNPL'!$G:$G,'R DATA BNPL'!$E:$E,B15,'R DATA BNPL'!$F:$F,'REKAP PERFORMANCE'!$F$6)</f>
        <v>0</v>
      </c>
      <c r="G15" s="45">
        <f>SUMIFS('R DATA BNPL'!$H:$H,'R DATA BNPL'!$E:$E,DAILY[[#This Row],[Date]],'R DATA BNPL'!$F:$F,'REKAP PERFORMANCE'!$F$6)</f>
        <v>0</v>
      </c>
      <c r="H15" s="45">
        <f>SUMIFS('R DATA BNPL'!$G:$G,'R DATA BNPL'!$E:$E,B15,'R DATA BNPL'!$F:$F,'REKAP PERFORMANCE'!$H$6)</f>
        <v>0</v>
      </c>
      <c r="I15" s="45">
        <f>SUMIFS('R DATA BNPL'!$H:$H,'R DATA BNPL'!$E:$E,DAILY[[#This Row],[Date]],'R DATA BNPL'!$F:$F,'REKAP PERFORMANCE'!$H$6)</f>
        <v>0</v>
      </c>
      <c r="J15" s="46">
        <f t="shared" si="3"/>
        <v>0</v>
      </c>
      <c r="K15" s="46">
        <f t="shared" si="4"/>
        <v>0</v>
      </c>
      <c r="L15" s="47">
        <f>SUMIFS('R DATA BNPL'!$G:$G,'R DATA BNPL'!$E:$E,B15,'R DATA BNPL'!$F:$F,'REKAP PERFORMANCE'!$L$6)</f>
        <v>0</v>
      </c>
      <c r="M15" s="47">
        <f>SUMIFS('R DATA BNPL'!$H:$H,'R DATA BNPL'!$E:$E,DAILY[[#This Row],[Date]],'R DATA BNPL'!$F:$F,'REKAP PERFORMANCE'!$L$6)</f>
        <v>0</v>
      </c>
      <c r="N15" s="47">
        <f>SUMIFS('R DATA BNPL'!$G:$G,'R DATA BNPL'!$E:$E,B15,'R DATA BNPL'!$F:$F,'REKAP PERFORMANCE'!$N$6)</f>
        <v>0</v>
      </c>
      <c r="O15" s="47">
        <f>SUMIFS('R DATA BNPL'!$H:$H,'R DATA BNPL'!$E:$E,DAILY[[#This Row],[Date]],'R DATA BNPL'!$F:$F,'REKAP PERFORMANCE'!$N$6)</f>
        <v>0</v>
      </c>
      <c r="P15" s="48">
        <f t="shared" si="5"/>
        <v>0</v>
      </c>
      <c r="Q15" s="48">
        <f t="shared" si="6"/>
        <v>0</v>
      </c>
      <c r="R15" s="49">
        <f>SUMIFS('R DATA BNPL'!$G:$G,'R DATA BNPL'!$E:$E,B15,'R DATA BNPL'!$F:$F,'REKAP PERFORMANCE'!$R$6)</f>
        <v>0</v>
      </c>
      <c r="S15" s="49">
        <f>SUMIFS('R DATA BNPL'!$H:$H,'R DATA BNPL'!$E:$E,DAILY[[#This Row],[Date]],'R DATA BNPL'!$F:$F,'REKAP PERFORMANCE'!$R$6)</f>
        <v>0</v>
      </c>
      <c r="T15" s="49">
        <f>SUMIFS('R DATA BNPL'!$G:$G,'R DATA BNPL'!$E:$E,B15,'R DATA BNPL'!$F:$F,'REKAP PERFORMANCE'!$T$6)</f>
        <v>0</v>
      </c>
      <c r="U15" s="49">
        <f>SUMIFS('R DATA BNPL'!$H:$H,'R DATA BNPL'!$E:$E,DAILY[[#This Row],[Date]],'R DATA BNPL'!$F:$F,'REKAP PERFORMANCE'!$T$6)</f>
        <v>0</v>
      </c>
      <c r="V15" s="50">
        <f t="shared" si="7"/>
        <v>0</v>
      </c>
      <c r="W15" s="50">
        <f t="shared" si="8"/>
        <v>0</v>
      </c>
      <c r="X15" s="47">
        <f>SUMIFS('R DATA BNPL'!$G:$G,'R DATA BNPL'!$E:$E,B15,'R DATA BNPL'!$F:$F,'REKAP PERFORMANCE'!$X$6)</f>
        <v>0</v>
      </c>
      <c r="Y15" s="47">
        <f>SUMIFS('R DATA BNPL'!$H:$H,'R DATA BNPL'!$E:$E,DAILY[[#This Row],[Date]],'R DATA BNPL'!$F:$F,'REKAP PERFORMANCE'!$X$6)</f>
        <v>0</v>
      </c>
      <c r="Z15" s="47">
        <f>SUMIFS('R DATA BNPL'!$G:$G,'R DATA BNPL'!$E:$E,B15,'R DATA BNPL'!$F:$F,'REKAP PERFORMANCE'!$Z$6)</f>
        <v>0</v>
      </c>
      <c r="AA15" s="47">
        <f>SUMIFS('R DATA BNPL'!$H:$H,'R DATA BNPL'!$E:$E,DAILY[[#This Row],[Date]],'R DATA BNPL'!$F:$F,'REKAP PERFORMANCE'!$Z$6)</f>
        <v>0</v>
      </c>
      <c r="AB15" s="48">
        <f t="shared" si="9"/>
        <v>0</v>
      </c>
      <c r="AC15" s="48">
        <f t="shared" si="10"/>
        <v>0</v>
      </c>
      <c r="AD15" s="51">
        <f>SUMIFS('R DATA BNPL'!$G:$G,'R DATA BNPL'!$E:$E,B15,'R DATA BNPL'!$F:$F,'REKAP PERFORMANCE'!$AD$6)</f>
        <v>17150000</v>
      </c>
      <c r="AE15" s="52">
        <f>SUMIFS('R DATA BNPL'!$H:$H,'R DATA BNPL'!$E:$E,DAILY[[#This Row],[Date]],'R DATA BNPL'!$F:$F,'REKAP PERFORMANCE'!$AD$6)</f>
        <v>1</v>
      </c>
      <c r="AF15" s="33"/>
      <c r="AG15" s="33"/>
      <c r="AH15">
        <f>SUMIFS('R DATA BNPL'!$G:$G,'R DATA BNPL'!$E:$E,B15,'R DATA BNPL'!$F:$F,'REKAP PERFORMANCE'!$AH$6)</f>
        <v>0</v>
      </c>
      <c r="AI15">
        <f>SUMIFS('R DATA BNPL'!$G:$G,'R DATA BNPL'!$E:$E,B15,'R DATA BNPL'!$F:$F,'REKAP PERFORMANCE'!$AI$6)</f>
        <v>0</v>
      </c>
      <c r="AJ15">
        <f>SUMIFS('R DATA BNPL'!$G:$G,'R DATA BNPL'!$E:$E,B15,'R DATA BNPL'!$F:$F,'REKAP PERFORMANCE'!$AJ$6)</f>
        <v>0</v>
      </c>
      <c r="AK15" s="64"/>
      <c r="AL15" s="131"/>
      <c r="AM15" s="22">
        <f>IFERROR(AN15/AM5,0)</f>
        <v>0.28427135277645632</v>
      </c>
      <c r="AN15" s="112">
        <f>SUM(AN13:AW13)</f>
        <v>773161140</v>
      </c>
      <c r="AO15" s="113"/>
      <c r="AP15" s="113"/>
      <c r="AQ15" s="113"/>
      <c r="AR15" s="113"/>
      <c r="AS15" s="113"/>
      <c r="AT15" s="113"/>
      <c r="AU15" s="113"/>
      <c r="AV15" s="113"/>
      <c r="AW15" s="114"/>
      <c r="AX15" s="64"/>
    </row>
    <row r="16" spans="1:50" ht="14.1" customHeight="1">
      <c r="A16" s="2" t="str">
        <f t="shared" si="2"/>
        <v>Kamis</v>
      </c>
      <c r="B16" s="4">
        <f t="shared" si="12"/>
        <v>46275</v>
      </c>
      <c r="C16"/>
      <c r="D16" s="45">
        <f>SUMIFS('R DATA BNPL'!$G:$G,'R DATA BNPL'!$E:$E,B16,'R DATA BNPL'!$F:$F,'REKAP PERFORMANCE'!$D$6)</f>
        <v>0</v>
      </c>
      <c r="E16" s="45">
        <f>SUMIFS('R DATA BNPL'!$H:$H,'R DATA BNPL'!$E:$E,DAILY[[#This Row],[Date]],'R DATA BNPL'!$F:$F,'REKAP PERFORMANCE'!$D$6)</f>
        <v>0</v>
      </c>
      <c r="F16" s="45">
        <f>SUMIFS('R DATA BNPL'!$G:$G,'R DATA BNPL'!$E:$E,B16,'R DATA BNPL'!$F:$F,'REKAP PERFORMANCE'!$F$6)</f>
        <v>14544000</v>
      </c>
      <c r="G16" s="45">
        <f>SUMIFS('R DATA BNPL'!$H:$H,'R DATA BNPL'!$E:$E,DAILY[[#This Row],[Date]],'R DATA BNPL'!$F:$F,'REKAP PERFORMANCE'!$F$6)</f>
        <v>1</v>
      </c>
      <c r="H16" s="45">
        <f>SUMIFS('R DATA BNPL'!$G:$G,'R DATA BNPL'!$E:$E,B16,'R DATA BNPL'!$F:$F,'REKAP PERFORMANCE'!$H$6)</f>
        <v>0</v>
      </c>
      <c r="I16" s="45">
        <f>SUMIFS('R DATA BNPL'!$H:$H,'R DATA BNPL'!$E:$E,DAILY[[#This Row],[Date]],'R DATA BNPL'!$F:$F,'REKAP PERFORMANCE'!$H$6)</f>
        <v>0</v>
      </c>
      <c r="J16" s="46">
        <f t="shared" si="3"/>
        <v>14544000</v>
      </c>
      <c r="K16" s="46">
        <f t="shared" si="4"/>
        <v>1</v>
      </c>
      <c r="L16" s="47">
        <f>SUMIFS('R DATA BNPL'!$G:$G,'R DATA BNPL'!$E:$E,B16,'R DATA BNPL'!$F:$F,'REKAP PERFORMANCE'!$L$6)</f>
        <v>0</v>
      </c>
      <c r="M16" s="47">
        <f>SUMIFS('R DATA BNPL'!$H:$H,'R DATA BNPL'!$E:$E,DAILY[[#This Row],[Date]],'R DATA BNPL'!$F:$F,'REKAP PERFORMANCE'!$L$6)</f>
        <v>0</v>
      </c>
      <c r="N16" s="47">
        <f>SUMIFS('R DATA BNPL'!$G:$G,'R DATA BNPL'!$E:$E,B16,'R DATA BNPL'!$F:$F,'REKAP PERFORMANCE'!$N$6)</f>
        <v>0</v>
      </c>
      <c r="O16" s="47">
        <f>SUMIFS('R DATA BNPL'!$H:$H,'R DATA BNPL'!$E:$E,DAILY[[#This Row],[Date]],'R DATA BNPL'!$F:$F,'REKAP PERFORMANCE'!$N$6)</f>
        <v>0</v>
      </c>
      <c r="P16" s="48">
        <f t="shared" si="5"/>
        <v>0</v>
      </c>
      <c r="Q16" s="48">
        <f t="shared" si="6"/>
        <v>0</v>
      </c>
      <c r="R16" s="49">
        <f>SUMIFS('R DATA BNPL'!$G:$G,'R DATA BNPL'!$E:$E,B16,'R DATA BNPL'!$F:$F,'REKAP PERFORMANCE'!$R$6)</f>
        <v>0</v>
      </c>
      <c r="S16" s="49">
        <f>SUMIFS('R DATA BNPL'!$H:$H,'R DATA BNPL'!$E:$E,DAILY[[#This Row],[Date]],'R DATA BNPL'!$F:$F,'REKAP PERFORMANCE'!$R$6)</f>
        <v>0</v>
      </c>
      <c r="T16" s="49">
        <f>SUMIFS('R DATA BNPL'!$G:$G,'R DATA BNPL'!$E:$E,B16,'R DATA BNPL'!$F:$F,'REKAP PERFORMANCE'!$T$6)</f>
        <v>0</v>
      </c>
      <c r="U16" s="49">
        <f>SUMIFS('R DATA BNPL'!$H:$H,'R DATA BNPL'!$E:$E,DAILY[[#This Row],[Date]],'R DATA BNPL'!$F:$F,'REKAP PERFORMANCE'!$T$6)</f>
        <v>0</v>
      </c>
      <c r="V16" s="50">
        <f t="shared" si="7"/>
        <v>0</v>
      </c>
      <c r="W16" s="50">
        <f t="shared" si="8"/>
        <v>0</v>
      </c>
      <c r="X16" s="47">
        <f>SUMIFS('R DATA BNPL'!$G:$G,'R DATA BNPL'!$E:$E,B16,'R DATA BNPL'!$F:$F,'REKAP PERFORMANCE'!$X$6)</f>
        <v>0</v>
      </c>
      <c r="Y16" s="47">
        <f>SUMIFS('R DATA BNPL'!$H:$H,'R DATA BNPL'!$E:$E,DAILY[[#This Row],[Date]],'R DATA BNPL'!$F:$F,'REKAP PERFORMANCE'!$X$6)</f>
        <v>0</v>
      </c>
      <c r="Z16" s="47">
        <f>SUMIFS('R DATA BNPL'!$G:$G,'R DATA BNPL'!$E:$E,B16,'R DATA BNPL'!$F:$F,'REKAP PERFORMANCE'!$Z$6)</f>
        <v>0</v>
      </c>
      <c r="AA16" s="47">
        <f>SUMIFS('R DATA BNPL'!$H:$H,'R DATA BNPL'!$E:$E,DAILY[[#This Row],[Date]],'R DATA BNPL'!$F:$F,'REKAP PERFORMANCE'!$Z$6)</f>
        <v>0</v>
      </c>
      <c r="AB16" s="48">
        <f t="shared" si="9"/>
        <v>0</v>
      </c>
      <c r="AC16" s="48">
        <f t="shared" si="10"/>
        <v>0</v>
      </c>
      <c r="AD16" s="51">
        <f>SUMIFS('R DATA BNPL'!$G:$G,'R DATA BNPL'!$E:$E,B16,'R DATA BNPL'!$F:$F,'REKAP PERFORMANCE'!$AD$6)</f>
        <v>13397000</v>
      </c>
      <c r="AE16" s="52">
        <f>SUMIFS('R DATA BNPL'!$H:$H,'R DATA BNPL'!$E:$E,DAILY[[#This Row],[Date]],'R DATA BNPL'!$F:$F,'REKAP PERFORMANCE'!$AD$6)</f>
        <v>1</v>
      </c>
      <c r="AF16" s="33"/>
      <c r="AG16" s="33"/>
      <c r="AH16">
        <f>SUMIFS('R DATA BNPL'!$G:$G,'R DATA BNPL'!$E:$E,B16,'R DATA BNPL'!$F:$F,'REKAP PERFORMANCE'!$AH$6)</f>
        <v>0</v>
      </c>
      <c r="AI16">
        <f>SUMIFS('R DATA BNPL'!$G:$G,'R DATA BNPL'!$E:$E,B16,'R DATA BNPL'!$F:$F,'REKAP PERFORMANCE'!$AI$6)</f>
        <v>0</v>
      </c>
      <c r="AJ16">
        <f>SUMIFS('R DATA BNPL'!$G:$G,'R DATA BNPL'!$E:$E,B16,'R DATA BNPL'!$F:$F,'REKAP PERFORMANCE'!$AJ$6)</f>
        <v>0</v>
      </c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</row>
    <row r="17" spans="1:50" ht="14.45">
      <c r="A17" s="2" t="str">
        <f t="shared" si="2"/>
        <v>Jumat</v>
      </c>
      <c r="B17" s="4">
        <f t="shared" si="12"/>
        <v>46276</v>
      </c>
      <c r="C17"/>
      <c r="D17" s="45">
        <f>SUMIFS('R DATA BNPL'!$G:$G,'R DATA BNPL'!$E:$E,B17,'R DATA BNPL'!$F:$F,'REKAP PERFORMANCE'!$D$6)</f>
        <v>0</v>
      </c>
      <c r="E17" s="45">
        <f>SUMIFS('R DATA BNPL'!$H:$H,'R DATA BNPL'!$E:$E,DAILY[[#This Row],[Date]],'R DATA BNPL'!$F:$F,'REKAP PERFORMANCE'!$D$6)</f>
        <v>0</v>
      </c>
      <c r="F17" s="45">
        <f>SUMIFS('R DATA BNPL'!$G:$G,'R DATA BNPL'!$E:$E,B17,'R DATA BNPL'!$F:$F,'REKAP PERFORMANCE'!$F$6)</f>
        <v>0</v>
      </c>
      <c r="G17" s="45">
        <f>SUMIFS('R DATA BNPL'!$H:$H,'R DATA BNPL'!$E:$E,DAILY[[#This Row],[Date]],'R DATA BNPL'!$F:$F,'REKAP PERFORMANCE'!$F$6)</f>
        <v>0</v>
      </c>
      <c r="H17" s="45">
        <f>SUMIFS('R DATA BNPL'!$G:$G,'R DATA BNPL'!$E:$E,B17,'R DATA BNPL'!$F:$F,'REKAP PERFORMANCE'!$H$6)</f>
        <v>11817000</v>
      </c>
      <c r="I17" s="45">
        <f>SUMIFS('R DATA BNPL'!$H:$H,'R DATA BNPL'!$E:$E,DAILY[[#This Row],[Date]],'R DATA BNPL'!$F:$F,'REKAP PERFORMANCE'!$H$6)</f>
        <v>1</v>
      </c>
      <c r="J17" s="46">
        <f t="shared" si="3"/>
        <v>11817000</v>
      </c>
      <c r="K17" s="46">
        <f t="shared" si="4"/>
        <v>1</v>
      </c>
      <c r="L17" s="47">
        <f>SUMIFS('R DATA BNPL'!$G:$G,'R DATA BNPL'!$E:$E,B17,'R DATA BNPL'!$F:$F,'REKAP PERFORMANCE'!$L$6)</f>
        <v>0</v>
      </c>
      <c r="M17" s="47">
        <f>SUMIFS('R DATA BNPL'!$H:$H,'R DATA BNPL'!$E:$E,DAILY[[#This Row],[Date]],'R DATA BNPL'!$F:$F,'REKAP PERFORMANCE'!$L$6)</f>
        <v>0</v>
      </c>
      <c r="N17" s="47">
        <f>SUMIFS('R DATA BNPL'!$G:$G,'R DATA BNPL'!$E:$E,B17,'R DATA BNPL'!$F:$F,'REKAP PERFORMANCE'!$N$6)</f>
        <v>0</v>
      </c>
      <c r="O17" s="47">
        <f>SUMIFS('R DATA BNPL'!$H:$H,'R DATA BNPL'!$E:$E,DAILY[[#This Row],[Date]],'R DATA BNPL'!$F:$F,'REKAP PERFORMANCE'!$N$6)</f>
        <v>0</v>
      </c>
      <c r="P17" s="48">
        <f t="shared" si="5"/>
        <v>0</v>
      </c>
      <c r="Q17" s="48">
        <f t="shared" si="6"/>
        <v>0</v>
      </c>
      <c r="R17" s="49">
        <f>SUMIFS('R DATA BNPL'!$G:$G,'R DATA BNPL'!$E:$E,B17,'R DATA BNPL'!$F:$F,'REKAP PERFORMANCE'!$R$6)</f>
        <v>0</v>
      </c>
      <c r="S17" s="49">
        <f>SUMIFS('R DATA BNPL'!$H:$H,'R DATA BNPL'!$E:$E,DAILY[[#This Row],[Date]],'R DATA BNPL'!$F:$F,'REKAP PERFORMANCE'!$R$6)</f>
        <v>0</v>
      </c>
      <c r="T17" s="49">
        <f>SUMIFS('R DATA BNPL'!$G:$G,'R DATA BNPL'!$E:$E,B17,'R DATA BNPL'!$F:$F,'REKAP PERFORMANCE'!$T$6)</f>
        <v>0</v>
      </c>
      <c r="U17" s="49">
        <f>SUMIFS('R DATA BNPL'!$H:$H,'R DATA BNPL'!$E:$E,DAILY[[#This Row],[Date]],'R DATA BNPL'!$F:$F,'REKAP PERFORMANCE'!$T$6)</f>
        <v>0</v>
      </c>
      <c r="V17" s="50">
        <f t="shared" si="7"/>
        <v>0</v>
      </c>
      <c r="W17" s="50">
        <f t="shared" si="8"/>
        <v>0</v>
      </c>
      <c r="X17" s="47">
        <f>SUMIFS('R DATA BNPL'!$G:$G,'R DATA BNPL'!$E:$E,B17,'R DATA BNPL'!$F:$F,'REKAP PERFORMANCE'!$X$6)</f>
        <v>0</v>
      </c>
      <c r="Y17" s="47">
        <f>SUMIFS('R DATA BNPL'!$H:$H,'R DATA BNPL'!$E:$E,DAILY[[#This Row],[Date]],'R DATA BNPL'!$F:$F,'REKAP PERFORMANCE'!$X$6)</f>
        <v>0</v>
      </c>
      <c r="Z17" s="47">
        <f>SUMIFS('R DATA BNPL'!$G:$G,'R DATA BNPL'!$E:$E,B17,'R DATA BNPL'!$F:$F,'REKAP PERFORMANCE'!$Z$6)</f>
        <v>0</v>
      </c>
      <c r="AA17" s="47">
        <f>SUMIFS('R DATA BNPL'!$H:$H,'R DATA BNPL'!$E:$E,DAILY[[#This Row],[Date]],'R DATA BNPL'!$F:$F,'REKAP PERFORMANCE'!$Z$6)</f>
        <v>0</v>
      </c>
      <c r="AB17" s="48">
        <f t="shared" si="9"/>
        <v>0</v>
      </c>
      <c r="AC17" s="48">
        <f t="shared" si="10"/>
        <v>0</v>
      </c>
      <c r="AD17" s="51">
        <f>SUMIFS('R DATA BNPL'!$G:$G,'R DATA BNPL'!$E:$E,B17,'R DATA BNPL'!$F:$F,'REKAP PERFORMANCE'!$AD$6)</f>
        <v>0</v>
      </c>
      <c r="AE17" s="52">
        <f>SUMIFS('R DATA BNPL'!$H:$H,'R DATA BNPL'!$E:$E,DAILY[[#This Row],[Date]],'R DATA BNPL'!$F:$F,'REKAP PERFORMANCE'!$AD$6)</f>
        <v>0</v>
      </c>
      <c r="AF17" s="33"/>
      <c r="AG17" s="33"/>
      <c r="AH17">
        <f>SUMIFS('R DATA BNPL'!$G:$G,'R DATA BNPL'!$E:$E,B17,'R DATA BNPL'!$F:$F,'REKAP PERFORMANCE'!$AH$6)</f>
        <v>0</v>
      </c>
      <c r="AI17">
        <f>SUMIFS('R DATA BNPL'!$G:$G,'R DATA BNPL'!$E:$E,B17,'R DATA BNPL'!$F:$F,'REKAP PERFORMANCE'!$AI$6)</f>
        <v>0</v>
      </c>
      <c r="AJ17">
        <f>SUMIFS('R DATA BNPL'!$G:$G,'R DATA BNPL'!$E:$E,B17,'R DATA BNPL'!$F:$F,'REKAP PERFORMANCE'!$AJ$6)</f>
        <v>0</v>
      </c>
      <c r="AK17" s="64"/>
      <c r="AL17" s="76"/>
      <c r="AM17" s="80" t="s">
        <v>25</v>
      </c>
      <c r="AN17" s="80"/>
      <c r="AO17" s="80"/>
      <c r="AP17" s="80"/>
      <c r="AQ17" s="64"/>
      <c r="AR17" s="64"/>
      <c r="AS17" s="64"/>
      <c r="AT17" s="64"/>
      <c r="AU17" s="64"/>
      <c r="AV17" s="64"/>
      <c r="AW17" s="64"/>
      <c r="AX17" s="64"/>
    </row>
    <row r="18" spans="1:50" ht="14.45">
      <c r="A18" s="2" t="str">
        <f t="shared" si="2"/>
        <v>Sabtu</v>
      </c>
      <c r="B18" s="4">
        <f t="shared" si="12"/>
        <v>46277</v>
      </c>
      <c r="C18"/>
      <c r="D18" s="45">
        <f>SUMIFS('R DATA BNPL'!$G:$G,'R DATA BNPL'!$E:$E,B18,'R DATA BNPL'!$F:$F,'REKAP PERFORMANCE'!$D$6)</f>
        <v>0</v>
      </c>
      <c r="E18" s="45">
        <f>SUMIFS('R DATA BNPL'!$H:$H,'R DATA BNPL'!$E:$E,DAILY[[#This Row],[Date]],'R DATA BNPL'!$F:$F,'REKAP PERFORMANCE'!$D$6)</f>
        <v>0</v>
      </c>
      <c r="F18" s="45">
        <f>SUMIFS('R DATA BNPL'!$G:$G,'R DATA BNPL'!$E:$E,B18,'R DATA BNPL'!$F:$F,'REKAP PERFORMANCE'!$F$6)</f>
        <v>50900970</v>
      </c>
      <c r="G18" s="45">
        <f>SUMIFS('R DATA BNPL'!$H:$H,'R DATA BNPL'!$E:$E,DAILY[[#This Row],[Date]],'R DATA BNPL'!$F:$F,'REKAP PERFORMANCE'!$F$6)</f>
        <v>2</v>
      </c>
      <c r="H18" s="45">
        <f>SUMIFS('R DATA BNPL'!$G:$G,'R DATA BNPL'!$E:$E,B18,'R DATA BNPL'!$F:$F,'REKAP PERFORMANCE'!$H$6)</f>
        <v>574690</v>
      </c>
      <c r="I18" s="45">
        <f>SUMIFS('R DATA BNPL'!$H:$H,'R DATA BNPL'!$E:$E,DAILY[[#This Row],[Date]],'R DATA BNPL'!$F:$F,'REKAP PERFORMANCE'!$H$6)</f>
        <v>1</v>
      </c>
      <c r="J18" s="46">
        <f t="shared" si="3"/>
        <v>51475660</v>
      </c>
      <c r="K18" s="46">
        <f t="shared" si="4"/>
        <v>3</v>
      </c>
      <c r="L18" s="47">
        <f>SUMIFS('R DATA BNPL'!$G:$G,'R DATA BNPL'!$E:$E,B18,'R DATA BNPL'!$F:$F,'REKAP PERFORMANCE'!$L$6)</f>
        <v>0</v>
      </c>
      <c r="M18" s="47">
        <f>SUMIFS('R DATA BNPL'!$H:$H,'R DATA BNPL'!$E:$E,DAILY[[#This Row],[Date]],'R DATA BNPL'!$F:$F,'REKAP PERFORMANCE'!$L$6)</f>
        <v>0</v>
      </c>
      <c r="N18" s="47">
        <f>SUMIFS('R DATA BNPL'!$G:$G,'R DATA BNPL'!$E:$E,B18,'R DATA BNPL'!$F:$F,'REKAP PERFORMANCE'!$N$6)</f>
        <v>0</v>
      </c>
      <c r="O18" s="47">
        <f>SUMIFS('R DATA BNPL'!$H:$H,'R DATA BNPL'!$E:$E,DAILY[[#This Row],[Date]],'R DATA BNPL'!$F:$F,'REKAP PERFORMANCE'!$N$6)</f>
        <v>0</v>
      </c>
      <c r="P18" s="48">
        <f t="shared" si="5"/>
        <v>0</v>
      </c>
      <c r="Q18" s="48">
        <f t="shared" si="6"/>
        <v>0</v>
      </c>
      <c r="R18" s="49">
        <f>SUMIFS('R DATA BNPL'!$G:$G,'R DATA BNPL'!$E:$E,B18,'R DATA BNPL'!$F:$F,'REKAP PERFORMANCE'!$R$6)</f>
        <v>0</v>
      </c>
      <c r="S18" s="49">
        <f>SUMIFS('R DATA BNPL'!$H:$H,'R DATA BNPL'!$E:$E,DAILY[[#This Row],[Date]],'R DATA BNPL'!$F:$F,'REKAP PERFORMANCE'!$R$6)</f>
        <v>0</v>
      </c>
      <c r="T18" s="49">
        <f>SUMIFS('R DATA BNPL'!$G:$G,'R DATA BNPL'!$E:$E,B18,'R DATA BNPL'!$F:$F,'REKAP PERFORMANCE'!$T$6)</f>
        <v>0</v>
      </c>
      <c r="U18" s="49">
        <f>SUMIFS('R DATA BNPL'!$H:$H,'R DATA BNPL'!$E:$E,DAILY[[#This Row],[Date]],'R DATA BNPL'!$F:$F,'REKAP PERFORMANCE'!$T$6)</f>
        <v>0</v>
      </c>
      <c r="V18" s="50">
        <f t="shared" si="7"/>
        <v>0</v>
      </c>
      <c r="W18" s="50">
        <f t="shared" si="8"/>
        <v>0</v>
      </c>
      <c r="X18" s="47">
        <f>SUMIFS('R DATA BNPL'!$G:$G,'R DATA BNPL'!$E:$E,B18,'R DATA BNPL'!$F:$F,'REKAP PERFORMANCE'!$X$6)</f>
        <v>14314000</v>
      </c>
      <c r="Y18" s="47">
        <f>SUMIFS('R DATA BNPL'!$H:$H,'R DATA BNPL'!$E:$E,DAILY[[#This Row],[Date]],'R DATA BNPL'!$F:$F,'REKAP PERFORMANCE'!$X$6)</f>
        <v>1</v>
      </c>
      <c r="Z18" s="47">
        <f>SUMIFS('R DATA BNPL'!$G:$G,'R DATA BNPL'!$E:$E,B18,'R DATA BNPL'!$F:$F,'REKAP PERFORMANCE'!$Z$6)</f>
        <v>0</v>
      </c>
      <c r="AA18" s="47">
        <f>SUMIFS('R DATA BNPL'!$H:$H,'R DATA BNPL'!$E:$E,DAILY[[#This Row],[Date]],'R DATA BNPL'!$F:$F,'REKAP PERFORMANCE'!$Z$6)</f>
        <v>0</v>
      </c>
      <c r="AB18" s="48">
        <f t="shared" si="9"/>
        <v>14314000</v>
      </c>
      <c r="AC18" s="48">
        <f t="shared" si="10"/>
        <v>1</v>
      </c>
      <c r="AD18" s="51">
        <f>SUMIFS('R DATA BNPL'!$G:$G,'R DATA BNPL'!$E:$E,B18,'R DATA BNPL'!$F:$F,'REKAP PERFORMANCE'!$AD$6)</f>
        <v>0</v>
      </c>
      <c r="AE18" s="52">
        <f>SUMIFS('R DATA BNPL'!$H:$H,'R DATA BNPL'!$E:$E,DAILY[[#This Row],[Date]],'R DATA BNPL'!$F:$F,'REKAP PERFORMANCE'!$AD$6)</f>
        <v>0</v>
      </c>
      <c r="AF18" s="33"/>
      <c r="AG18" s="33"/>
      <c r="AH18">
        <f>SUMIFS('R DATA BNPL'!$G:$G,'R DATA BNPL'!$E:$E,B18,'R DATA BNPL'!$F:$F,'REKAP PERFORMANCE'!$AH$6)</f>
        <v>0</v>
      </c>
      <c r="AI18">
        <f>SUMIFS('R DATA BNPL'!$G:$G,'R DATA BNPL'!$E:$E,B18,'R DATA BNPL'!$F:$F,'REKAP PERFORMANCE'!$AI$6)</f>
        <v>0</v>
      </c>
      <c r="AJ18">
        <f>SUMIFS('R DATA BNPL'!$G:$G,'R DATA BNPL'!$E:$E,B18,'R DATA BNPL'!$F:$F,'REKAP PERFORMANCE'!$AJ$6)</f>
        <v>0</v>
      </c>
      <c r="AK18" s="64"/>
      <c r="AL18" s="76"/>
      <c r="AM18" s="76" t="s">
        <v>26</v>
      </c>
      <c r="AN18" s="76" t="s">
        <v>27</v>
      </c>
      <c r="AO18" s="76" t="s">
        <v>28</v>
      </c>
      <c r="AP18" s="76" t="s">
        <v>29</v>
      </c>
      <c r="AQ18" s="64"/>
      <c r="AR18" s="64"/>
      <c r="AS18" s="64"/>
      <c r="AT18" s="64"/>
      <c r="AU18" s="64"/>
      <c r="AV18" s="64"/>
      <c r="AW18" s="64"/>
      <c r="AX18" s="64"/>
    </row>
    <row r="19" spans="1:50" ht="14.45">
      <c r="A19" s="2" t="str">
        <f t="shared" si="2"/>
        <v>Minggu</v>
      </c>
      <c r="B19" s="4">
        <f t="shared" si="12"/>
        <v>46278</v>
      </c>
      <c r="C19"/>
      <c r="D19" s="45">
        <f>SUMIFS('R DATA BNPL'!$G:$G,'R DATA BNPL'!$E:$E,B19,'R DATA BNPL'!$F:$F,'REKAP PERFORMANCE'!$D$6)</f>
        <v>0</v>
      </c>
      <c r="E19" s="45">
        <f>SUMIFS('R DATA BNPL'!$H:$H,'R DATA BNPL'!$E:$E,DAILY[[#This Row],[Date]],'R DATA BNPL'!$F:$F,'REKAP PERFORMANCE'!$D$6)</f>
        <v>0</v>
      </c>
      <c r="F19" s="45">
        <f>SUMIFS('R DATA BNPL'!$G:$G,'R DATA BNPL'!$E:$E,B19,'R DATA BNPL'!$F:$F,'REKAP PERFORMANCE'!$F$6)</f>
        <v>0</v>
      </c>
      <c r="G19" s="45">
        <f>SUMIFS('R DATA BNPL'!$H:$H,'R DATA BNPL'!$E:$E,DAILY[[#This Row],[Date]],'R DATA BNPL'!$F:$F,'REKAP PERFORMANCE'!$F$6)</f>
        <v>0</v>
      </c>
      <c r="H19" s="45">
        <f>SUMIFS('R DATA BNPL'!$G:$G,'R DATA BNPL'!$E:$E,B19,'R DATA BNPL'!$F:$F,'REKAP PERFORMANCE'!$H$6)</f>
        <v>39354000</v>
      </c>
      <c r="I19" s="45">
        <f>SUMIFS('R DATA BNPL'!$H:$H,'R DATA BNPL'!$E:$E,DAILY[[#This Row],[Date]],'R DATA BNPL'!$F:$F,'REKAP PERFORMANCE'!$H$6)</f>
        <v>3</v>
      </c>
      <c r="J19" s="46">
        <f t="shared" si="3"/>
        <v>39354000</v>
      </c>
      <c r="K19" s="46">
        <f t="shared" si="4"/>
        <v>3</v>
      </c>
      <c r="L19" s="47">
        <f>SUMIFS('R DATA BNPL'!$G:$G,'R DATA BNPL'!$E:$E,B19,'R DATA BNPL'!$F:$F,'REKAP PERFORMANCE'!$L$6)</f>
        <v>0</v>
      </c>
      <c r="M19" s="47">
        <f>SUMIFS('R DATA BNPL'!$H:$H,'R DATA BNPL'!$E:$E,DAILY[[#This Row],[Date]],'R DATA BNPL'!$F:$F,'REKAP PERFORMANCE'!$L$6)</f>
        <v>0</v>
      </c>
      <c r="N19" s="47">
        <f>SUMIFS('R DATA BNPL'!$G:$G,'R DATA BNPL'!$E:$E,B19,'R DATA BNPL'!$F:$F,'REKAP PERFORMANCE'!$N$6)</f>
        <v>0</v>
      </c>
      <c r="O19" s="47">
        <f>SUMIFS('R DATA BNPL'!$H:$H,'R DATA BNPL'!$E:$E,DAILY[[#This Row],[Date]],'R DATA BNPL'!$F:$F,'REKAP PERFORMANCE'!$N$6)</f>
        <v>0</v>
      </c>
      <c r="P19" s="48">
        <f t="shared" si="5"/>
        <v>0</v>
      </c>
      <c r="Q19" s="48">
        <f t="shared" si="6"/>
        <v>0</v>
      </c>
      <c r="R19" s="49">
        <f>SUMIFS('R DATA BNPL'!$G:$G,'R DATA BNPL'!$E:$E,B19,'R DATA BNPL'!$F:$F,'REKAP PERFORMANCE'!$R$6)</f>
        <v>0</v>
      </c>
      <c r="S19" s="49">
        <f>SUMIFS('R DATA BNPL'!$H:$H,'R DATA BNPL'!$E:$E,DAILY[[#This Row],[Date]],'R DATA BNPL'!$F:$F,'REKAP PERFORMANCE'!$R$6)</f>
        <v>0</v>
      </c>
      <c r="T19" s="49">
        <f>SUMIFS('R DATA BNPL'!$G:$G,'R DATA BNPL'!$E:$E,B19,'R DATA BNPL'!$F:$F,'REKAP PERFORMANCE'!$T$6)</f>
        <v>0</v>
      </c>
      <c r="U19" s="49">
        <f>SUMIFS('R DATA BNPL'!$H:$H,'R DATA BNPL'!$E:$E,DAILY[[#This Row],[Date]],'R DATA BNPL'!$F:$F,'REKAP PERFORMANCE'!$T$6)</f>
        <v>0</v>
      </c>
      <c r="V19" s="50">
        <f t="shared" si="7"/>
        <v>0</v>
      </c>
      <c r="W19" s="50">
        <f t="shared" si="8"/>
        <v>0</v>
      </c>
      <c r="X19" s="47">
        <f>SUMIFS('R DATA BNPL'!$G:$G,'R DATA BNPL'!$E:$E,B19,'R DATA BNPL'!$F:$F,'REKAP PERFORMANCE'!$X$6)</f>
        <v>21047000</v>
      </c>
      <c r="Y19" s="47">
        <f>SUMIFS('R DATA BNPL'!$H:$H,'R DATA BNPL'!$E:$E,DAILY[[#This Row],[Date]],'R DATA BNPL'!$F:$F,'REKAP PERFORMANCE'!$X$6)</f>
        <v>2</v>
      </c>
      <c r="Z19" s="47">
        <f>SUMIFS('R DATA BNPL'!$G:$G,'R DATA BNPL'!$E:$E,B19,'R DATA BNPL'!$F:$F,'REKAP PERFORMANCE'!$Z$6)</f>
        <v>0</v>
      </c>
      <c r="AA19" s="47">
        <f>SUMIFS('R DATA BNPL'!$H:$H,'R DATA BNPL'!$E:$E,DAILY[[#This Row],[Date]],'R DATA BNPL'!$F:$F,'REKAP PERFORMANCE'!$Z$6)</f>
        <v>0</v>
      </c>
      <c r="AB19" s="48">
        <f t="shared" si="9"/>
        <v>21047000</v>
      </c>
      <c r="AC19" s="48">
        <f t="shared" si="10"/>
        <v>2</v>
      </c>
      <c r="AD19" s="51">
        <f>SUMIFS('R DATA BNPL'!$G:$G,'R DATA BNPL'!$E:$E,B19,'R DATA BNPL'!$F:$F,'REKAP PERFORMANCE'!$AD$6)</f>
        <v>0</v>
      </c>
      <c r="AE19" s="52">
        <f>SUMIFS('R DATA BNPL'!$H:$H,'R DATA BNPL'!$E:$E,DAILY[[#This Row],[Date]],'R DATA BNPL'!$F:$F,'REKAP PERFORMANCE'!$AD$6)</f>
        <v>0</v>
      </c>
      <c r="AF19" s="33"/>
      <c r="AG19" s="33"/>
      <c r="AH19">
        <f>SUMIFS('R DATA BNPL'!$G:$G,'R DATA BNPL'!$E:$E,B19,'R DATA BNPL'!$F:$F,'REKAP PERFORMANCE'!$AH$6)</f>
        <v>0</v>
      </c>
      <c r="AI19">
        <f>SUMIFS('R DATA BNPL'!$G:$G,'R DATA BNPL'!$E:$E,B19,'R DATA BNPL'!$F:$F,'REKAP PERFORMANCE'!$AI$6)</f>
        <v>0</v>
      </c>
      <c r="AJ19">
        <f>SUMIFS('R DATA BNPL'!$G:$G,'R DATA BNPL'!$E:$E,B19,'R DATA BNPL'!$F:$F,'REKAP PERFORMANCE'!$AJ$6)</f>
        <v>0</v>
      </c>
      <c r="AK19" s="64"/>
      <c r="AL19" s="71" t="s">
        <v>30</v>
      </c>
      <c r="AM19" s="76">
        <f>SUMIFS('R DATA BNPL'!$H:$H, 'R DATA BNPL'!$F:$F, 'REKAP PERFORMANCE'!AL19, 'R DATA BNPL'!$I:$I, 'REKAP PERFORMANCE'!$AM$18,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N19" s="76">
        <f>SUMIFS('R DATA BNPL'!$H:$H, 'R DATA BNPL'!$F:$F, 'REKAP PERFORMANCE'!AL19, 'R DATA BNPL'!$I:$I, 'REKAP PERFORMANCE'!$AN$18,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O19" s="76">
        <f>SUMIFS('R DATA BNPL'!$H:$H, 'R DATA BNPL'!$F:$F, 'REKAP PERFORMANCE'!AL19, 'R DATA BNPL'!$I:$I, 'REKAP PERFORMANCE'!$AO$18,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P19" s="76">
        <f>SUMIFS('R DATA BNPL'!$H:$H, 'R DATA BNPL'!$F:$F, 'REKAP PERFORMANCE'!AL19, 'R DATA BNPL'!$I:$I, 'REKAP PERFORMANCE'!$AP$18,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Q19" s="64"/>
      <c r="AR19" s="64"/>
      <c r="AS19" s="64"/>
      <c r="AT19" s="64"/>
      <c r="AU19" s="64"/>
      <c r="AV19" s="64"/>
      <c r="AW19" s="64"/>
      <c r="AX19" s="64"/>
    </row>
    <row r="20" spans="1:50" ht="14.45">
      <c r="A20" s="2" t="str">
        <f t="shared" si="2"/>
        <v>Senin</v>
      </c>
      <c r="B20" s="4">
        <f t="shared" si="12"/>
        <v>46279</v>
      </c>
      <c r="C20"/>
      <c r="D20" s="45">
        <f>SUMIFS('R DATA BNPL'!$G:$G,'R DATA BNPL'!$E:$E,B20,'R DATA BNPL'!$F:$F,'REKAP PERFORMANCE'!$D$6)</f>
        <v>0</v>
      </c>
      <c r="E20" s="45">
        <f>SUMIFS('R DATA BNPL'!$H:$H,'R DATA BNPL'!$E:$E,DAILY[[#This Row],[Date]],'R DATA BNPL'!$F:$F,'REKAP PERFORMANCE'!$D$6)</f>
        <v>0</v>
      </c>
      <c r="F20" s="45">
        <f>SUMIFS('R DATA BNPL'!$G:$G,'R DATA BNPL'!$E:$E,B20,'R DATA BNPL'!$F:$F,'REKAP PERFORMANCE'!$F$6)</f>
        <v>14594500</v>
      </c>
      <c r="G20" s="45">
        <f>SUMIFS('R DATA BNPL'!$H:$H,'R DATA BNPL'!$E:$E,DAILY[[#This Row],[Date]],'R DATA BNPL'!$F:$F,'REKAP PERFORMANCE'!$F$6)</f>
        <v>1</v>
      </c>
      <c r="H20" s="45">
        <f>SUMIFS('R DATA BNPL'!$G:$G,'R DATA BNPL'!$E:$E,B20,'R DATA BNPL'!$F:$F,'REKAP PERFORMANCE'!$H$6)</f>
        <v>13500000</v>
      </c>
      <c r="I20" s="45">
        <f>SUMIFS('R DATA BNPL'!$H:$H,'R DATA BNPL'!$E:$E,DAILY[[#This Row],[Date]],'R DATA BNPL'!$F:$F,'REKAP PERFORMANCE'!$H$6)</f>
        <v>1</v>
      </c>
      <c r="J20" s="46">
        <f t="shared" si="3"/>
        <v>28094500</v>
      </c>
      <c r="K20" s="46">
        <f t="shared" si="4"/>
        <v>2</v>
      </c>
      <c r="L20" s="47">
        <f>SUMIFS('R DATA BNPL'!$G:$G,'R DATA BNPL'!$E:$E,B20,'R DATA BNPL'!$F:$F,'REKAP PERFORMANCE'!$L$6)</f>
        <v>0</v>
      </c>
      <c r="M20" s="47">
        <f>SUMIFS('R DATA BNPL'!$H:$H,'R DATA BNPL'!$E:$E,DAILY[[#This Row],[Date]],'R DATA BNPL'!$F:$F,'REKAP PERFORMANCE'!$L$6)</f>
        <v>0</v>
      </c>
      <c r="N20" s="47">
        <f>SUMIFS('R DATA BNPL'!$G:$G,'R DATA BNPL'!$E:$E,B20,'R DATA BNPL'!$F:$F,'REKAP PERFORMANCE'!$N$6)</f>
        <v>0</v>
      </c>
      <c r="O20" s="47">
        <f>SUMIFS('R DATA BNPL'!$H:$H,'R DATA BNPL'!$E:$E,DAILY[[#This Row],[Date]],'R DATA BNPL'!$F:$F,'REKAP PERFORMANCE'!$N$6)</f>
        <v>0</v>
      </c>
      <c r="P20" s="48">
        <f t="shared" si="5"/>
        <v>0</v>
      </c>
      <c r="Q20" s="48">
        <f t="shared" si="6"/>
        <v>0</v>
      </c>
      <c r="R20" s="49">
        <f>SUMIFS('R DATA BNPL'!$G:$G,'R DATA BNPL'!$E:$E,B20,'R DATA BNPL'!$F:$F,'REKAP PERFORMANCE'!$R$6)</f>
        <v>0</v>
      </c>
      <c r="S20" s="49">
        <f>SUMIFS('R DATA BNPL'!$H:$H,'R DATA BNPL'!$E:$E,DAILY[[#This Row],[Date]],'R DATA BNPL'!$F:$F,'REKAP PERFORMANCE'!$R$6)</f>
        <v>0</v>
      </c>
      <c r="T20" s="49">
        <f>SUMIFS('R DATA BNPL'!$G:$G,'R DATA BNPL'!$E:$E,B20,'R DATA BNPL'!$F:$F,'REKAP PERFORMANCE'!$T$6)</f>
        <v>0</v>
      </c>
      <c r="U20" s="49">
        <f>SUMIFS('R DATA BNPL'!$H:$H,'R DATA BNPL'!$E:$E,DAILY[[#This Row],[Date]],'R DATA BNPL'!$F:$F,'REKAP PERFORMANCE'!$T$6)</f>
        <v>0</v>
      </c>
      <c r="V20" s="50">
        <f t="shared" si="7"/>
        <v>0</v>
      </c>
      <c r="W20" s="50">
        <f t="shared" si="8"/>
        <v>0</v>
      </c>
      <c r="X20" s="47">
        <f>SUMIFS('R DATA BNPL'!$G:$G,'R DATA BNPL'!$E:$E,B20,'R DATA BNPL'!$F:$F,'REKAP PERFORMANCE'!$X$6)</f>
        <v>20868000</v>
      </c>
      <c r="Y20" s="47">
        <f>SUMIFS('R DATA BNPL'!$H:$H,'R DATA BNPL'!$E:$E,DAILY[[#This Row],[Date]],'R DATA BNPL'!$F:$F,'REKAP PERFORMANCE'!$X$6)</f>
        <v>2</v>
      </c>
      <c r="Z20" s="47">
        <f>SUMIFS('R DATA BNPL'!$G:$G,'R DATA BNPL'!$E:$E,B20,'R DATA BNPL'!$F:$F,'REKAP PERFORMANCE'!$Z$6)</f>
        <v>0</v>
      </c>
      <c r="AA20" s="47">
        <f>SUMIFS('R DATA BNPL'!$H:$H,'R DATA BNPL'!$E:$E,DAILY[[#This Row],[Date]],'R DATA BNPL'!$F:$F,'REKAP PERFORMANCE'!$Z$6)</f>
        <v>0</v>
      </c>
      <c r="AB20" s="48">
        <f t="shared" si="9"/>
        <v>20868000</v>
      </c>
      <c r="AC20" s="48">
        <f t="shared" si="10"/>
        <v>2</v>
      </c>
      <c r="AD20" s="51">
        <f>SUMIFS('R DATA BNPL'!$G:$G,'R DATA BNPL'!$E:$E,B20,'R DATA BNPL'!$F:$F,'REKAP PERFORMANCE'!$AD$6)</f>
        <v>0</v>
      </c>
      <c r="AE20" s="52">
        <f>SUMIFS('R DATA BNPL'!$H:$H,'R DATA BNPL'!$E:$E,DAILY[[#This Row],[Date]],'R DATA BNPL'!$F:$F,'REKAP PERFORMANCE'!$AD$6)</f>
        <v>0</v>
      </c>
      <c r="AF20" s="33"/>
      <c r="AG20" s="33"/>
      <c r="AH20">
        <f>SUMIFS('R DATA BNPL'!$G:$G,'R DATA BNPL'!$E:$E,B20,'R DATA BNPL'!$F:$F,'REKAP PERFORMANCE'!$AH$6)</f>
        <v>0</v>
      </c>
      <c r="AI20">
        <f>SUMIFS('R DATA BNPL'!$G:$G,'R DATA BNPL'!$E:$E,B20,'R DATA BNPL'!$F:$F,'REKAP PERFORMANCE'!$AI$6)</f>
        <v>0</v>
      </c>
      <c r="AJ20">
        <f>SUMIFS('R DATA BNPL'!$G:$G,'R DATA BNPL'!$E:$E,B20,'R DATA BNPL'!$F:$F,'REKAP PERFORMANCE'!$AJ$6)</f>
        <v>0</v>
      </c>
      <c r="AK20" s="64"/>
      <c r="AL20" s="71" t="s">
        <v>31</v>
      </c>
      <c r="AM20" s="76">
        <f>SUMIFS('R DATA BNPL'!$H:$H, 'R DATA BNPL'!$F:$F, 'REKAP PERFORMANCE'!AL20, 'R DATA BNPL'!$I:$I, 'REKAP PERFORMANCE'!$AM$18,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N20" s="76">
        <f>SUMIFS('R DATA BNPL'!$H:$H, 'R DATA BNPL'!$F:$F, 'REKAP PERFORMANCE'!AL20, 'R DATA BNPL'!$I:$I, 'REKAP PERFORMANCE'!$AN$18,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O20" s="76">
        <f>SUMIFS('R DATA BNPL'!$H:$H, 'R DATA BNPL'!$F:$F, 'REKAP PERFORMANCE'!AL20, 'R DATA BNPL'!$I:$I, 'REKAP PERFORMANCE'!$AO$18,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P20" s="76">
        <f>SUMIFS('R DATA BNPL'!$H:$H, 'R DATA BNPL'!$F:$F, 'REKAP PERFORMANCE'!AL20, 'R DATA BNPL'!$I:$I, 'REKAP PERFORMANCE'!$AP$18,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Q20" s="64"/>
      <c r="AR20" s="64"/>
      <c r="AS20" s="64"/>
      <c r="AT20" s="64"/>
      <c r="AU20" s="64"/>
      <c r="AV20" s="64"/>
      <c r="AW20" s="64"/>
      <c r="AX20" s="64"/>
    </row>
    <row r="21" spans="1:50" ht="14.45">
      <c r="A21" s="2" t="str">
        <f t="shared" si="2"/>
        <v>Selasa</v>
      </c>
      <c r="B21" s="4">
        <f t="shared" si="12"/>
        <v>46280</v>
      </c>
      <c r="C21"/>
      <c r="D21" s="45">
        <f>SUMIFS('R DATA BNPL'!$G:$G,'R DATA BNPL'!$E:$E,B21,'R DATA BNPL'!$F:$F,'REKAP PERFORMANCE'!$D$6)</f>
        <v>0</v>
      </c>
      <c r="E21" s="45">
        <f>SUMIFS('R DATA BNPL'!$H:$H,'R DATA BNPL'!$E:$E,DAILY[[#This Row],[Date]],'R DATA BNPL'!$F:$F,'REKAP PERFORMANCE'!$D$6)</f>
        <v>0</v>
      </c>
      <c r="F21" s="45">
        <f>SUMIFS('R DATA BNPL'!$G:$G,'R DATA BNPL'!$E:$E,B21,'R DATA BNPL'!$F:$F,'REKAP PERFORMANCE'!$F$6)</f>
        <v>0</v>
      </c>
      <c r="G21" s="45">
        <f>SUMIFS('R DATA BNPL'!$H:$H,'R DATA BNPL'!$E:$E,DAILY[[#This Row],[Date]],'R DATA BNPL'!$F:$F,'REKAP PERFORMANCE'!$F$6)</f>
        <v>0</v>
      </c>
      <c r="H21" s="45">
        <f>SUMIFS('R DATA BNPL'!$G:$G,'R DATA BNPL'!$E:$E,B21,'R DATA BNPL'!$F:$F,'REKAP PERFORMANCE'!$H$6)</f>
        <v>52911880</v>
      </c>
      <c r="I21" s="45">
        <f>SUMIFS('R DATA BNPL'!$H:$H,'R DATA BNPL'!$E:$E,DAILY[[#This Row],[Date]],'R DATA BNPL'!$F:$F,'REKAP PERFORMANCE'!$H$6)</f>
        <v>2</v>
      </c>
      <c r="J21" s="46">
        <f t="shared" si="3"/>
        <v>52911880</v>
      </c>
      <c r="K21" s="46">
        <f t="shared" si="4"/>
        <v>2</v>
      </c>
      <c r="L21" s="47">
        <f>SUMIFS('R DATA BNPL'!$G:$G,'R DATA BNPL'!$E:$E,B21,'R DATA BNPL'!$F:$F,'REKAP PERFORMANCE'!$L$6)</f>
        <v>0</v>
      </c>
      <c r="M21" s="47">
        <f>SUMIFS('R DATA BNPL'!$H:$H,'R DATA BNPL'!$E:$E,DAILY[[#This Row],[Date]],'R DATA BNPL'!$F:$F,'REKAP PERFORMANCE'!$L$6)</f>
        <v>0</v>
      </c>
      <c r="N21" s="47">
        <f>SUMIFS('R DATA BNPL'!$G:$G,'R DATA BNPL'!$E:$E,B21,'R DATA BNPL'!$F:$F,'REKAP PERFORMANCE'!$N$6)</f>
        <v>0</v>
      </c>
      <c r="O21" s="47">
        <f>SUMIFS('R DATA BNPL'!$H:$H,'R DATA BNPL'!$E:$E,DAILY[[#This Row],[Date]],'R DATA BNPL'!$F:$F,'REKAP PERFORMANCE'!$N$6)</f>
        <v>0</v>
      </c>
      <c r="P21" s="48">
        <f t="shared" si="5"/>
        <v>0</v>
      </c>
      <c r="Q21" s="48">
        <f t="shared" si="6"/>
        <v>0</v>
      </c>
      <c r="R21" s="49">
        <f>SUMIFS('R DATA BNPL'!$G:$G,'R DATA BNPL'!$E:$E,B21,'R DATA BNPL'!$F:$F,'REKAP PERFORMANCE'!$R$6)</f>
        <v>0</v>
      </c>
      <c r="S21" s="49">
        <f>SUMIFS('R DATA BNPL'!$H:$H,'R DATA BNPL'!$E:$E,DAILY[[#This Row],[Date]],'R DATA BNPL'!$F:$F,'REKAP PERFORMANCE'!$R$6)</f>
        <v>0</v>
      </c>
      <c r="T21" s="49">
        <f>SUMIFS('R DATA BNPL'!$G:$G,'R DATA BNPL'!$E:$E,B21,'R DATA BNPL'!$F:$F,'REKAP PERFORMANCE'!$T$6)</f>
        <v>0</v>
      </c>
      <c r="U21" s="49">
        <f>SUMIFS('R DATA BNPL'!$H:$H,'R DATA BNPL'!$E:$E,DAILY[[#This Row],[Date]],'R DATA BNPL'!$F:$F,'REKAP PERFORMANCE'!$T$6)</f>
        <v>0</v>
      </c>
      <c r="V21" s="50">
        <f t="shared" si="7"/>
        <v>0</v>
      </c>
      <c r="W21" s="50">
        <f t="shared" si="8"/>
        <v>0</v>
      </c>
      <c r="X21" s="47">
        <f>SUMIFS('R DATA BNPL'!$G:$G,'R DATA BNPL'!$E:$E,B21,'R DATA BNPL'!$F:$F,'REKAP PERFORMANCE'!$X$6)</f>
        <v>17313000</v>
      </c>
      <c r="Y21" s="47">
        <f>SUMIFS('R DATA BNPL'!$H:$H,'R DATA BNPL'!$E:$E,DAILY[[#This Row],[Date]],'R DATA BNPL'!$F:$F,'REKAP PERFORMANCE'!$X$6)</f>
        <v>1</v>
      </c>
      <c r="Z21" s="47">
        <f>SUMIFS('R DATA BNPL'!$G:$G,'R DATA BNPL'!$E:$E,B21,'R DATA BNPL'!$F:$F,'REKAP PERFORMANCE'!$Z$6)</f>
        <v>0</v>
      </c>
      <c r="AA21" s="47">
        <f>SUMIFS('R DATA BNPL'!$H:$H,'R DATA BNPL'!$E:$E,DAILY[[#This Row],[Date]],'R DATA BNPL'!$F:$F,'REKAP PERFORMANCE'!$Z$6)</f>
        <v>0</v>
      </c>
      <c r="AB21" s="48">
        <f t="shared" si="9"/>
        <v>17313000</v>
      </c>
      <c r="AC21" s="48">
        <f t="shared" si="10"/>
        <v>1</v>
      </c>
      <c r="AD21" s="51">
        <f>SUMIFS('R DATA BNPL'!$G:$G,'R DATA BNPL'!$E:$E,B21,'R DATA BNPL'!$F:$F,'REKAP PERFORMANCE'!$AD$6)</f>
        <v>0</v>
      </c>
      <c r="AE21" s="52">
        <f>SUMIFS('R DATA BNPL'!$H:$H,'R DATA BNPL'!$E:$E,DAILY[[#This Row],[Date]],'R DATA BNPL'!$F:$F,'REKAP PERFORMANCE'!$AD$6)</f>
        <v>0</v>
      </c>
      <c r="AF21" s="33"/>
      <c r="AG21" s="33"/>
      <c r="AH21">
        <f>SUMIFS('R DATA BNPL'!$G:$G,'R DATA BNPL'!$E:$E,B21,'R DATA BNPL'!$F:$F,'REKAP PERFORMANCE'!$AH$6)</f>
        <v>0</v>
      </c>
      <c r="AI21">
        <f>SUMIFS('R DATA BNPL'!$G:$G,'R DATA BNPL'!$E:$E,B21,'R DATA BNPL'!$F:$F,'REKAP PERFORMANCE'!$AI$6)</f>
        <v>0</v>
      </c>
      <c r="AJ21">
        <f>SUMIFS('R DATA BNPL'!$G:$G,'R DATA BNPL'!$E:$E,B21,'R DATA BNPL'!$F:$F,'REKAP PERFORMANCE'!$AJ$6)</f>
        <v>0</v>
      </c>
      <c r="AK21" s="64"/>
      <c r="AL21" s="71" t="s">
        <v>32</v>
      </c>
      <c r="AM21" s="76">
        <f>SUMIFS('R DATA BNPL'!$H:$H, 'R DATA BNPL'!$F:$F, 'REKAP PERFORMANCE'!AL21, 'R DATA BNPL'!$I:$I, 'REKAP PERFORMANCE'!$AM$18,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N21" s="76">
        <f>SUMIFS('R DATA BNPL'!$H:$H, 'R DATA BNPL'!$F:$F, 'REKAP PERFORMANCE'!AL21, 'R DATA BNPL'!$I:$I, 'REKAP PERFORMANCE'!$AN$18,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O21" s="76">
        <f>SUMIFS('R DATA BNPL'!$H:$H, 'R DATA BNPL'!$F:$F, 'REKAP PERFORMANCE'!AL21, 'R DATA BNPL'!$I:$I, 'REKAP PERFORMANCE'!$AO$18,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P21" s="76">
        <f>SUMIFS('R DATA BNPL'!$H:$H, 'R DATA BNPL'!$F:$F, 'REKAP PERFORMANCE'!AL21, 'R DATA BNPL'!$I:$I, 'REKAP PERFORMANCE'!$AP$18,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Q21" s="64"/>
      <c r="AR21" s="64"/>
      <c r="AS21" s="64"/>
      <c r="AT21" s="64"/>
      <c r="AU21" s="64"/>
      <c r="AV21" s="64"/>
      <c r="AW21" s="64"/>
      <c r="AX21" s="64"/>
    </row>
    <row r="22" spans="1:50" ht="14.45">
      <c r="A22" s="2" t="str">
        <f t="shared" si="2"/>
        <v>Rabu</v>
      </c>
      <c r="B22" s="4">
        <f t="shared" si="12"/>
        <v>46281</v>
      </c>
      <c r="C22"/>
      <c r="D22" s="45">
        <f>SUMIFS('R DATA BNPL'!$G:$G,'R DATA BNPL'!$E:$E,B22,'R DATA BNPL'!$F:$F,'REKAP PERFORMANCE'!$D$6)</f>
        <v>0</v>
      </c>
      <c r="E22" s="45">
        <f>SUMIFS('R DATA BNPL'!$H:$H,'R DATA BNPL'!$E:$E,DAILY[[#This Row],[Date]],'R DATA BNPL'!$F:$F,'REKAP PERFORMANCE'!$D$6)</f>
        <v>0</v>
      </c>
      <c r="F22" s="45">
        <f>SUMIFS('R DATA BNPL'!$G:$G,'R DATA BNPL'!$E:$E,B22,'R DATA BNPL'!$F:$F,'REKAP PERFORMANCE'!$F$6)</f>
        <v>11817000</v>
      </c>
      <c r="G22" s="45">
        <f>SUMIFS('R DATA BNPL'!$H:$H,'R DATA BNPL'!$E:$E,DAILY[[#This Row],[Date]],'R DATA BNPL'!$F:$F,'REKAP PERFORMANCE'!$F$6)</f>
        <v>1</v>
      </c>
      <c r="H22" s="45">
        <f>SUMIFS('R DATA BNPL'!$G:$G,'R DATA BNPL'!$E:$E,B22,'R DATA BNPL'!$F:$F,'REKAP PERFORMANCE'!$H$6)</f>
        <v>0</v>
      </c>
      <c r="I22" s="45">
        <f>SUMIFS('R DATA BNPL'!$H:$H,'R DATA BNPL'!$E:$E,DAILY[[#This Row],[Date]],'R DATA BNPL'!$F:$F,'REKAP PERFORMANCE'!$H$6)</f>
        <v>0</v>
      </c>
      <c r="J22" s="46">
        <f t="shared" si="3"/>
        <v>11817000</v>
      </c>
      <c r="K22" s="46">
        <f t="shared" si="4"/>
        <v>1</v>
      </c>
      <c r="L22" s="47">
        <f>SUMIFS('R DATA BNPL'!$G:$G,'R DATA BNPL'!$E:$E,B22,'R DATA BNPL'!$F:$F,'REKAP PERFORMANCE'!$L$6)</f>
        <v>0</v>
      </c>
      <c r="M22" s="47">
        <f>SUMIFS('R DATA BNPL'!$H:$H,'R DATA BNPL'!$E:$E,DAILY[[#This Row],[Date]],'R DATA BNPL'!$F:$F,'REKAP PERFORMANCE'!$L$6)</f>
        <v>0</v>
      </c>
      <c r="N22" s="47">
        <f>SUMIFS('R DATA BNPL'!$G:$G,'R DATA BNPL'!$E:$E,B22,'R DATA BNPL'!$F:$F,'REKAP PERFORMANCE'!$N$6)</f>
        <v>0</v>
      </c>
      <c r="O22" s="47">
        <f>SUMIFS('R DATA BNPL'!$H:$H,'R DATA BNPL'!$E:$E,DAILY[[#This Row],[Date]],'R DATA BNPL'!$F:$F,'REKAP PERFORMANCE'!$N$6)</f>
        <v>0</v>
      </c>
      <c r="P22" s="48">
        <f t="shared" si="5"/>
        <v>0</v>
      </c>
      <c r="Q22" s="48">
        <f t="shared" si="6"/>
        <v>0</v>
      </c>
      <c r="R22" s="49">
        <f>SUMIFS('R DATA BNPL'!$G:$G,'R DATA BNPL'!$E:$E,B22,'R DATA BNPL'!$F:$F,'REKAP PERFORMANCE'!$R$6)</f>
        <v>0</v>
      </c>
      <c r="S22" s="49">
        <f>SUMIFS('R DATA BNPL'!$H:$H,'R DATA BNPL'!$E:$E,DAILY[[#This Row],[Date]],'R DATA BNPL'!$F:$F,'REKAP PERFORMANCE'!$R$6)</f>
        <v>0</v>
      </c>
      <c r="T22" s="49">
        <f>SUMIFS('R DATA BNPL'!$G:$G,'R DATA BNPL'!$E:$E,B22,'R DATA BNPL'!$F:$F,'REKAP PERFORMANCE'!$T$6)</f>
        <v>0</v>
      </c>
      <c r="U22" s="49">
        <f>SUMIFS('R DATA BNPL'!$H:$H,'R DATA BNPL'!$E:$E,DAILY[[#This Row],[Date]],'R DATA BNPL'!$F:$F,'REKAP PERFORMANCE'!$T$6)</f>
        <v>0</v>
      </c>
      <c r="V22" s="50">
        <f t="shared" si="7"/>
        <v>0</v>
      </c>
      <c r="W22" s="50">
        <f t="shared" si="8"/>
        <v>0</v>
      </c>
      <c r="X22" s="47">
        <f>SUMIFS('R DATA BNPL'!$G:$G,'R DATA BNPL'!$E:$E,B22,'R DATA BNPL'!$F:$F,'REKAP PERFORMANCE'!$X$6)</f>
        <v>0</v>
      </c>
      <c r="Y22" s="47">
        <f>SUMIFS('R DATA BNPL'!$H:$H,'R DATA BNPL'!$E:$E,DAILY[[#This Row],[Date]],'R DATA BNPL'!$F:$F,'REKAP PERFORMANCE'!$X$6)</f>
        <v>0</v>
      </c>
      <c r="Z22" s="47">
        <f>SUMIFS('R DATA BNPL'!$G:$G,'R DATA BNPL'!$E:$E,B22,'R DATA BNPL'!$F:$F,'REKAP PERFORMANCE'!$Z$6)</f>
        <v>0</v>
      </c>
      <c r="AA22" s="47">
        <f>SUMIFS('R DATA BNPL'!$H:$H,'R DATA BNPL'!$E:$E,DAILY[[#This Row],[Date]],'R DATA BNPL'!$F:$F,'REKAP PERFORMANCE'!$Z$6)</f>
        <v>0</v>
      </c>
      <c r="AB22" s="48">
        <f t="shared" si="9"/>
        <v>0</v>
      </c>
      <c r="AC22" s="48">
        <f t="shared" si="10"/>
        <v>0</v>
      </c>
      <c r="AD22" s="51">
        <f>SUMIFS('R DATA BNPL'!$G:$G,'R DATA BNPL'!$E:$E,B22,'R DATA BNPL'!$F:$F,'REKAP PERFORMANCE'!$AD$6)</f>
        <v>0</v>
      </c>
      <c r="AE22" s="52">
        <f>SUMIFS('R DATA BNPL'!$H:$H,'R DATA BNPL'!$E:$E,DAILY[[#This Row],[Date]],'R DATA BNPL'!$F:$F,'REKAP PERFORMANCE'!$AD$6)</f>
        <v>0</v>
      </c>
      <c r="AF22" s="33"/>
      <c r="AG22" s="33"/>
      <c r="AH22">
        <f>SUMIFS('R DATA BNPL'!$G:$G,'R DATA BNPL'!$E:$E,B22,'R DATA BNPL'!$F:$F,'REKAP PERFORMANCE'!$AH$6)</f>
        <v>0</v>
      </c>
      <c r="AI22">
        <f>SUMIFS('R DATA BNPL'!$G:$G,'R DATA BNPL'!$E:$E,B22,'R DATA BNPL'!$F:$F,'REKAP PERFORMANCE'!$AI$6)</f>
        <v>0</v>
      </c>
      <c r="AJ22">
        <f>SUMIFS('R DATA BNPL'!$G:$G,'R DATA BNPL'!$E:$E,B22,'R DATA BNPL'!$F:$F,'REKAP PERFORMANCE'!$AJ$6)</f>
        <v>0</v>
      </c>
      <c r="AK22" s="64"/>
      <c r="AL22" s="71" t="s">
        <v>33</v>
      </c>
      <c r="AM22" s="76">
        <f>SUMIFS('R DATA BNPL'!$H:$H, 'R DATA BNPL'!$F:$F, 'REKAP PERFORMANCE'!AL22, 'R DATA BNPL'!$I:$I, 'REKAP PERFORMANCE'!$AM$18,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N22" s="76">
        <f>SUMIFS('R DATA BNPL'!$H:$H, 'R DATA BNPL'!$F:$F, 'REKAP PERFORMANCE'!AL22, 'R DATA BNPL'!$I:$I, 'REKAP PERFORMANCE'!$AN$18,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O22" s="76">
        <f>SUMIFS('R DATA BNPL'!$H:$H, 'R DATA BNPL'!$F:$F, 'REKAP PERFORMANCE'!AL22, 'R DATA BNPL'!$I:$I, 'REKAP PERFORMANCE'!$AO$18,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P22" s="76">
        <f>SUMIFS('R DATA BNPL'!$H:$H, 'R DATA BNPL'!$F:$F, 'REKAP PERFORMANCE'!AL22, 'R DATA BNPL'!$I:$I, 'REKAP PERFORMANCE'!$AP$18,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Q22" s="64"/>
      <c r="AR22" s="64"/>
      <c r="AS22" s="64"/>
      <c r="AT22" s="64"/>
      <c r="AU22" s="64"/>
      <c r="AV22" s="64"/>
      <c r="AW22" s="64"/>
      <c r="AX22" s="64"/>
    </row>
    <row r="23" spans="1:50" ht="14.45">
      <c r="A23" s="2" t="str">
        <f t="shared" si="2"/>
        <v>Kamis</v>
      </c>
      <c r="B23" s="4">
        <f t="shared" si="12"/>
        <v>46282</v>
      </c>
      <c r="C23"/>
      <c r="D23" s="45">
        <f>SUMIFS('R DATA BNPL'!$G:$G,'R DATA BNPL'!$E:$E,B23,'R DATA BNPL'!$F:$F,'REKAP PERFORMANCE'!$D$6)</f>
        <v>0</v>
      </c>
      <c r="E23" s="45">
        <f>SUMIFS('R DATA BNPL'!$H:$H,'R DATA BNPL'!$E:$E,DAILY[[#This Row],[Date]],'R DATA BNPL'!$F:$F,'REKAP PERFORMANCE'!$D$6)</f>
        <v>0</v>
      </c>
      <c r="F23" s="45">
        <f>SUMIFS('R DATA BNPL'!$G:$G,'R DATA BNPL'!$E:$E,B23,'R DATA BNPL'!$F:$F,'REKAP PERFORMANCE'!$F$6)</f>
        <v>25089410</v>
      </c>
      <c r="G23" s="45">
        <f>SUMIFS('R DATA BNPL'!$H:$H,'R DATA BNPL'!$E:$E,DAILY[[#This Row],[Date]],'R DATA BNPL'!$F:$F,'REKAP PERFORMANCE'!$F$6)</f>
        <v>1</v>
      </c>
      <c r="H23" s="45">
        <f>SUMIFS('R DATA BNPL'!$G:$G,'R DATA BNPL'!$E:$E,B23,'R DATA BNPL'!$F:$F,'REKAP PERFORMANCE'!$H$6)</f>
        <v>0</v>
      </c>
      <c r="I23" s="45">
        <f>SUMIFS('R DATA BNPL'!$H:$H,'R DATA BNPL'!$E:$E,DAILY[[#This Row],[Date]],'R DATA BNPL'!$F:$F,'REKAP PERFORMANCE'!$H$6)</f>
        <v>0</v>
      </c>
      <c r="J23" s="46">
        <f>D23+F23+H23</f>
        <v>25089410</v>
      </c>
      <c r="K23" s="46">
        <f t="shared" si="4"/>
        <v>1</v>
      </c>
      <c r="L23" s="47">
        <f>SUMIFS('R DATA BNPL'!$G:$G,'R DATA BNPL'!$E:$E,B23,'R DATA BNPL'!$F:$F,'REKAP PERFORMANCE'!$L$6)</f>
        <v>0</v>
      </c>
      <c r="M23" s="47">
        <f>SUMIFS('R DATA BNPL'!$H:$H,'R DATA BNPL'!$E:$E,DAILY[[#This Row],[Date]],'R DATA BNPL'!$F:$F,'REKAP PERFORMANCE'!$L$6)</f>
        <v>0</v>
      </c>
      <c r="N23" s="47">
        <f>SUMIFS('R DATA BNPL'!$G:$G,'R DATA BNPL'!$E:$E,B23,'R DATA BNPL'!$F:$F,'REKAP PERFORMANCE'!$N$6)</f>
        <v>0</v>
      </c>
      <c r="O23" s="47">
        <f>SUMIFS('R DATA BNPL'!$H:$H,'R DATA BNPL'!$E:$E,DAILY[[#This Row],[Date]],'R DATA BNPL'!$F:$F,'REKAP PERFORMANCE'!$N$6)</f>
        <v>0</v>
      </c>
      <c r="P23" s="48">
        <f t="shared" si="5"/>
        <v>0</v>
      </c>
      <c r="Q23" s="48">
        <f t="shared" si="6"/>
        <v>0</v>
      </c>
      <c r="R23" s="49">
        <f>SUMIFS('R DATA BNPL'!$G:$G,'R DATA BNPL'!$E:$E,B23,'R DATA BNPL'!$F:$F,'REKAP PERFORMANCE'!$R$6)</f>
        <v>0</v>
      </c>
      <c r="S23" s="49">
        <f>SUMIFS('R DATA BNPL'!$H:$H,'R DATA BNPL'!$E:$E,DAILY[[#This Row],[Date]],'R DATA BNPL'!$F:$F,'REKAP PERFORMANCE'!$R$6)</f>
        <v>0</v>
      </c>
      <c r="T23" s="49">
        <f>SUMIFS('R DATA BNPL'!$G:$G,'R DATA BNPL'!$E:$E,B23,'R DATA BNPL'!$F:$F,'REKAP PERFORMANCE'!$T$6)</f>
        <v>0</v>
      </c>
      <c r="U23" s="49">
        <f>SUMIFS('R DATA BNPL'!$H:$H,'R DATA BNPL'!$E:$E,DAILY[[#This Row],[Date]],'R DATA BNPL'!$F:$F,'REKAP PERFORMANCE'!$T$6)</f>
        <v>0</v>
      </c>
      <c r="V23" s="50">
        <f t="shared" si="7"/>
        <v>0</v>
      </c>
      <c r="W23" s="50">
        <f t="shared" si="8"/>
        <v>0</v>
      </c>
      <c r="X23" s="47">
        <f>SUMIFS('R DATA BNPL'!$G:$G,'R DATA BNPL'!$E:$E,B23,'R DATA BNPL'!$F:$F,'REKAP PERFORMANCE'!$X$6)</f>
        <v>0</v>
      </c>
      <c r="Y23" s="47">
        <f>SUMIFS('R DATA BNPL'!$H:$H,'R DATA BNPL'!$E:$E,DAILY[[#This Row],[Date]],'R DATA BNPL'!$F:$F,'REKAP PERFORMANCE'!$X$6)</f>
        <v>0</v>
      </c>
      <c r="Z23" s="47">
        <f>SUMIFS('R DATA BNPL'!$G:$G,'R DATA BNPL'!$E:$E,B23,'R DATA BNPL'!$F:$F,'REKAP PERFORMANCE'!$Z$6)</f>
        <v>0</v>
      </c>
      <c r="AA23" s="47">
        <f>SUMIFS('R DATA BNPL'!$H:$H,'R DATA BNPL'!$E:$E,DAILY[[#This Row],[Date]],'R DATA BNPL'!$F:$F,'REKAP PERFORMANCE'!$Z$6)</f>
        <v>0</v>
      </c>
      <c r="AB23" s="48">
        <f t="shared" si="9"/>
        <v>0</v>
      </c>
      <c r="AC23" s="48">
        <f t="shared" si="10"/>
        <v>0</v>
      </c>
      <c r="AD23" s="51">
        <f>SUMIFS('R DATA BNPL'!$G:$G,'R DATA BNPL'!$E:$E,B23,'R DATA BNPL'!$F:$F,'REKAP PERFORMANCE'!$AD$6)</f>
        <v>0</v>
      </c>
      <c r="AE23" s="52">
        <f>SUMIFS('R DATA BNPL'!$H:$H,'R DATA BNPL'!$E:$E,DAILY[[#This Row],[Date]],'R DATA BNPL'!$F:$F,'REKAP PERFORMANCE'!$AD$6)</f>
        <v>0</v>
      </c>
      <c r="AF23" s="33"/>
      <c r="AG23" s="33"/>
      <c r="AH23">
        <f>SUMIFS('R DATA BNPL'!$G:$G,'R DATA BNPL'!$E:$E,B23,'R DATA BNPL'!$F:$F,'REKAP PERFORMANCE'!$AH$6)</f>
        <v>0</v>
      </c>
      <c r="AI23">
        <f>SUMIFS('R DATA BNPL'!$G:$G,'R DATA BNPL'!$E:$E,B23,'R DATA BNPL'!$F:$F,'REKAP PERFORMANCE'!$AI$6)</f>
        <v>0</v>
      </c>
      <c r="AJ23">
        <f>SUMIFS('R DATA BNPL'!$G:$G,'R DATA BNPL'!$E:$E,B23,'R DATA BNPL'!$F:$F,'REKAP PERFORMANCE'!$AJ$6)</f>
        <v>0</v>
      </c>
      <c r="AK23" s="64"/>
      <c r="AL23" s="71" t="s">
        <v>34</v>
      </c>
      <c r="AM23" s="76">
        <f>SUMIFS('R DATA BNPL'!$H:$H, 'R DATA BNPL'!$F:$F, 'REKAP PERFORMANCE'!AL23, 'R DATA BNPL'!$I:$I, 'REKAP PERFORMANCE'!$AM$18,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N23" s="76">
        <f>SUMIFS('R DATA BNPL'!$H:$H, 'R DATA BNPL'!$F:$F, 'REKAP PERFORMANCE'!AL23, 'R DATA BNPL'!$I:$I, 'REKAP PERFORMANCE'!$AN$18,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O23" s="76">
        <f>SUMIFS('R DATA BNPL'!$H:$H, 'R DATA BNPL'!$F:$F, 'REKAP PERFORMANCE'!AL23, 'R DATA BNPL'!$I:$I, 'REKAP PERFORMANCE'!$AO$18,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P23" s="76">
        <f>SUMIFS('R DATA BNPL'!$H:$H, 'R DATA BNPL'!$F:$F, 'REKAP PERFORMANCE'!AL23, 'R DATA BNPL'!$I:$I, 'REKAP PERFORMANCE'!$AP$18,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Q23" s="64"/>
      <c r="AR23" s="64"/>
      <c r="AS23" s="64"/>
      <c r="AT23" s="64"/>
      <c r="AU23" s="64"/>
      <c r="AV23" s="64"/>
      <c r="AW23" s="64"/>
      <c r="AX23" s="64"/>
    </row>
    <row r="24" spans="1:50" ht="14.45">
      <c r="A24" s="2" t="str">
        <f t="shared" si="2"/>
        <v>Jumat</v>
      </c>
      <c r="B24" s="4">
        <f t="shared" si="12"/>
        <v>46283</v>
      </c>
      <c r="C24"/>
      <c r="D24" s="45">
        <f>SUMIFS('R DATA BNPL'!$G:$G,'R DATA BNPL'!$E:$E,B24,'R DATA BNPL'!$F:$F,'REKAP PERFORMANCE'!$D$6)</f>
        <v>0</v>
      </c>
      <c r="E24" s="45">
        <f>SUMIFS('R DATA BNPL'!$H:$H,'R DATA BNPL'!$E:$E,DAILY[[#This Row],[Date]],'R DATA BNPL'!$F:$F,'REKAP PERFORMANCE'!$D$6)</f>
        <v>0</v>
      </c>
      <c r="F24" s="45">
        <f>SUMIFS('R DATA BNPL'!$G:$G,'R DATA BNPL'!$E:$E,B24,'R DATA BNPL'!$F:$F,'REKAP PERFORMANCE'!$F$6)</f>
        <v>15352000</v>
      </c>
      <c r="G24" s="45">
        <f>SUMIFS('R DATA BNPL'!$H:$H,'R DATA BNPL'!$E:$E,DAILY[[#This Row],[Date]],'R DATA BNPL'!$F:$F,'REKAP PERFORMANCE'!$F$6)</f>
        <v>1</v>
      </c>
      <c r="H24" s="45">
        <f>SUMIFS('R DATA BNPL'!$G:$G,'R DATA BNPL'!$E:$E,B24,'R DATA BNPL'!$F:$F,'REKAP PERFORMANCE'!$H$6)</f>
        <v>0</v>
      </c>
      <c r="I24" s="45">
        <f>SUMIFS('R DATA BNPL'!$H:$H,'R DATA BNPL'!$E:$E,DAILY[[#This Row],[Date]],'R DATA BNPL'!$F:$F,'REKAP PERFORMANCE'!$H$6)</f>
        <v>0</v>
      </c>
      <c r="J24" s="46">
        <f t="shared" si="3"/>
        <v>15352000</v>
      </c>
      <c r="K24" s="46">
        <f t="shared" si="4"/>
        <v>1</v>
      </c>
      <c r="L24" s="47">
        <f>SUMIFS('R DATA BNPL'!$G:$G,'R DATA BNPL'!$E:$E,B24,'R DATA BNPL'!$F:$F,'REKAP PERFORMANCE'!$L$6)</f>
        <v>0</v>
      </c>
      <c r="M24" s="47">
        <f>SUMIFS('R DATA BNPL'!$H:$H,'R DATA BNPL'!$E:$E,DAILY[[#This Row],[Date]],'R DATA BNPL'!$F:$F,'REKAP PERFORMANCE'!$L$6)</f>
        <v>0</v>
      </c>
      <c r="N24" s="47">
        <f>SUMIFS('R DATA BNPL'!$G:$G,'R DATA BNPL'!$E:$E,B24,'R DATA BNPL'!$F:$F,'REKAP PERFORMANCE'!$N$6)</f>
        <v>0</v>
      </c>
      <c r="O24" s="47">
        <f>SUMIFS('R DATA BNPL'!$H:$H,'R DATA BNPL'!$E:$E,DAILY[[#This Row],[Date]],'R DATA BNPL'!$F:$F,'REKAP PERFORMANCE'!$N$6)</f>
        <v>0</v>
      </c>
      <c r="P24" s="48">
        <f t="shared" si="5"/>
        <v>0</v>
      </c>
      <c r="Q24" s="48">
        <f t="shared" si="6"/>
        <v>0</v>
      </c>
      <c r="R24" s="49">
        <f>SUMIFS('R DATA BNPL'!$G:$G,'R DATA BNPL'!$E:$E,B24,'R DATA BNPL'!$F:$F,'REKAP PERFORMANCE'!$R$6)</f>
        <v>0</v>
      </c>
      <c r="S24" s="49">
        <f>SUMIFS('R DATA BNPL'!$H:$H,'R DATA BNPL'!$E:$E,DAILY[[#This Row],[Date]],'R DATA BNPL'!$F:$F,'REKAP PERFORMANCE'!$R$6)</f>
        <v>0</v>
      </c>
      <c r="T24" s="49">
        <f>SUMIFS('R DATA BNPL'!$G:$G,'R DATA BNPL'!$E:$E,B24,'R DATA BNPL'!$F:$F,'REKAP PERFORMANCE'!$T$6)</f>
        <v>0</v>
      </c>
      <c r="U24" s="49">
        <f>SUMIFS('R DATA BNPL'!$H:$H,'R DATA BNPL'!$E:$E,DAILY[[#This Row],[Date]],'R DATA BNPL'!$F:$F,'REKAP PERFORMANCE'!$T$6)</f>
        <v>0</v>
      </c>
      <c r="V24" s="50">
        <f t="shared" si="7"/>
        <v>0</v>
      </c>
      <c r="W24" s="50">
        <f t="shared" si="8"/>
        <v>0</v>
      </c>
      <c r="X24" s="47">
        <f>SUMIFS('R DATA BNPL'!$G:$G,'R DATA BNPL'!$E:$E,B24,'R DATA BNPL'!$F:$F,'REKAP PERFORMANCE'!$X$6)</f>
        <v>0</v>
      </c>
      <c r="Y24" s="47">
        <f>SUMIFS('R DATA BNPL'!$H:$H,'R DATA BNPL'!$E:$E,DAILY[[#This Row],[Date]],'R DATA BNPL'!$F:$F,'REKAP PERFORMANCE'!$X$6)</f>
        <v>0</v>
      </c>
      <c r="Z24" s="47">
        <f>SUMIFS('R DATA BNPL'!$G:$G,'R DATA BNPL'!$E:$E,B24,'R DATA BNPL'!$F:$F,'REKAP PERFORMANCE'!$Z$6)</f>
        <v>0</v>
      </c>
      <c r="AA24" s="47">
        <f>SUMIFS('R DATA BNPL'!$H:$H,'R DATA BNPL'!$E:$E,DAILY[[#This Row],[Date]],'R DATA BNPL'!$F:$F,'REKAP PERFORMANCE'!$Z$6)</f>
        <v>0</v>
      </c>
      <c r="AB24" s="48">
        <f t="shared" si="9"/>
        <v>0</v>
      </c>
      <c r="AC24" s="48">
        <f t="shared" si="10"/>
        <v>0</v>
      </c>
      <c r="AD24" s="51">
        <f>SUMIFS('R DATA BNPL'!$G:$G,'R DATA BNPL'!$E:$E,B24,'R DATA BNPL'!$F:$F,'REKAP PERFORMANCE'!$AD$6)</f>
        <v>0</v>
      </c>
      <c r="AE24" s="52">
        <f>SUMIFS('R DATA BNPL'!$H:$H,'R DATA BNPL'!$E:$E,DAILY[[#This Row],[Date]],'R DATA BNPL'!$F:$F,'REKAP PERFORMANCE'!$AD$6)</f>
        <v>0</v>
      </c>
      <c r="AF24" s="33"/>
      <c r="AG24" s="33"/>
      <c r="AH24">
        <f>SUMIFS('R DATA BNPL'!$G:$G,'R DATA BNPL'!$E:$E,B24,'R DATA BNPL'!$F:$F,'REKAP PERFORMANCE'!$AH$6)</f>
        <v>0</v>
      </c>
      <c r="AI24">
        <f>SUMIFS('R DATA BNPL'!$G:$G,'R DATA BNPL'!$E:$E,B24,'R DATA BNPL'!$F:$F,'REKAP PERFORMANCE'!$AI$6)</f>
        <v>0</v>
      </c>
      <c r="AJ24">
        <f>SUMIFS('R DATA BNPL'!$G:$G,'R DATA BNPL'!$E:$E,B24,'R DATA BNPL'!$F:$F,'REKAP PERFORMANCE'!$AJ$6)</f>
        <v>0</v>
      </c>
      <c r="AK24" s="64"/>
      <c r="AL24" s="71" t="s">
        <v>35</v>
      </c>
      <c r="AM24" s="76">
        <f>SUMIFS('R DATA BNPL'!$H:$H, 'R DATA BNPL'!$F:$F, 'REKAP PERFORMANCE'!AL24, 'R DATA BNPL'!$I:$I, 'REKAP PERFORMANCE'!$AM$18,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N24" s="76">
        <f>SUMIFS('R DATA BNPL'!$H:$H, 'R DATA BNPL'!$F:$F, 'REKAP PERFORMANCE'!AL24, 'R DATA BNPL'!$I:$I, 'REKAP PERFORMANCE'!$AN$18,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O24" s="76">
        <f>SUMIFS('R DATA BNPL'!$H:$H, 'R DATA BNPL'!$F:$F, 'REKAP PERFORMANCE'!AL24, 'R DATA BNPL'!$I:$I, 'REKAP PERFORMANCE'!$AO$18,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P24" s="76">
        <f>SUMIFS('R DATA BNPL'!$H:$H, 'R DATA BNPL'!$F:$F, 'REKAP PERFORMANCE'!AL24, 'R DATA BNPL'!$I:$I, 'REKAP PERFORMANCE'!$AP$18,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Q24" s="64"/>
      <c r="AR24" s="64"/>
      <c r="AS24" s="64"/>
      <c r="AT24" s="64"/>
      <c r="AU24" s="64"/>
      <c r="AV24" s="64"/>
      <c r="AW24" s="64"/>
      <c r="AX24" s="64"/>
    </row>
    <row r="25" spans="1:50" ht="14.45">
      <c r="A25" s="2" t="str">
        <f t="shared" si="2"/>
        <v>Sabtu</v>
      </c>
      <c r="B25" s="4">
        <f t="shared" si="12"/>
        <v>46284</v>
      </c>
      <c r="C25"/>
      <c r="D25" s="45">
        <f>SUMIFS('R DATA BNPL'!$G:$G,'R DATA BNPL'!$E:$E,B25,'R DATA BNPL'!$F:$F,'REKAP PERFORMANCE'!$D$6)</f>
        <v>0</v>
      </c>
      <c r="E25" s="45">
        <f>SUMIFS('R DATA BNPL'!$H:$H,'R DATA BNPL'!$E:$E,DAILY[[#This Row],[Date]],'R DATA BNPL'!$F:$F,'REKAP PERFORMANCE'!$D$6)</f>
        <v>0</v>
      </c>
      <c r="F25" s="45">
        <f>SUMIFS('R DATA BNPL'!$G:$G,'R DATA BNPL'!$E:$E,B25,'R DATA BNPL'!$F:$F,'REKAP PERFORMANCE'!$F$6)</f>
        <v>26673090</v>
      </c>
      <c r="G25" s="45">
        <f>SUMIFS('R DATA BNPL'!$H:$H,'R DATA BNPL'!$E:$E,DAILY[[#This Row],[Date]],'R DATA BNPL'!$F:$F,'REKAP PERFORMANCE'!$F$6)</f>
        <v>1</v>
      </c>
      <c r="H25" s="45">
        <f>SUMIFS('R DATA BNPL'!$G:$G,'R DATA BNPL'!$E:$E,B25,'R DATA BNPL'!$F:$F,'REKAP PERFORMANCE'!$H$6)</f>
        <v>0</v>
      </c>
      <c r="I25" s="45">
        <f>SUMIFS('R DATA BNPL'!$H:$H,'R DATA BNPL'!$E:$E,DAILY[[#This Row],[Date]],'R DATA BNPL'!$F:$F,'REKAP PERFORMANCE'!$H$6)</f>
        <v>0</v>
      </c>
      <c r="J25" s="46">
        <f t="shared" si="3"/>
        <v>26673090</v>
      </c>
      <c r="K25" s="46">
        <f t="shared" si="4"/>
        <v>1</v>
      </c>
      <c r="L25" s="47">
        <f>SUMIFS('R DATA BNPL'!$G:$G,'R DATA BNPL'!$E:$E,B25,'R DATA BNPL'!$F:$F,'REKAP PERFORMANCE'!$L$6)</f>
        <v>0</v>
      </c>
      <c r="M25" s="47">
        <f>SUMIFS('R DATA BNPL'!$H:$H,'R DATA BNPL'!$E:$E,DAILY[[#This Row],[Date]],'R DATA BNPL'!$F:$F,'REKAP PERFORMANCE'!$L$6)</f>
        <v>0</v>
      </c>
      <c r="N25" s="47">
        <f>SUMIFS('R DATA BNPL'!$G:$G,'R DATA BNPL'!$E:$E,B25,'R DATA BNPL'!$F:$F,'REKAP PERFORMANCE'!$N$6)</f>
        <v>0</v>
      </c>
      <c r="O25" s="47">
        <f>SUMIFS('R DATA BNPL'!$H:$H,'R DATA BNPL'!$E:$E,DAILY[[#This Row],[Date]],'R DATA BNPL'!$F:$F,'REKAP PERFORMANCE'!$N$6)</f>
        <v>0</v>
      </c>
      <c r="P25" s="48">
        <f t="shared" si="5"/>
        <v>0</v>
      </c>
      <c r="Q25" s="48">
        <f t="shared" si="6"/>
        <v>0</v>
      </c>
      <c r="R25" s="49">
        <f>SUMIFS('R DATA BNPL'!$G:$G,'R DATA BNPL'!$E:$E,B25,'R DATA BNPL'!$F:$F,'REKAP PERFORMANCE'!$R$6)</f>
        <v>0</v>
      </c>
      <c r="S25" s="49">
        <f>SUMIFS('R DATA BNPL'!$H:$H,'R DATA BNPL'!$E:$E,DAILY[[#This Row],[Date]],'R DATA BNPL'!$F:$F,'REKAP PERFORMANCE'!$R$6)</f>
        <v>0</v>
      </c>
      <c r="T25" s="49">
        <f>SUMIFS('R DATA BNPL'!$G:$G,'R DATA BNPL'!$E:$E,B25,'R DATA BNPL'!$F:$F,'REKAP PERFORMANCE'!$T$6)</f>
        <v>0</v>
      </c>
      <c r="U25" s="49">
        <f>SUMIFS('R DATA BNPL'!$H:$H,'R DATA BNPL'!$E:$E,DAILY[[#This Row],[Date]],'R DATA BNPL'!$F:$F,'REKAP PERFORMANCE'!$T$6)</f>
        <v>0</v>
      </c>
      <c r="V25" s="50">
        <f t="shared" si="7"/>
        <v>0</v>
      </c>
      <c r="W25" s="50">
        <f t="shared" si="8"/>
        <v>0</v>
      </c>
      <c r="X25" s="47">
        <f>SUMIFS('R DATA BNPL'!$G:$G,'R DATA BNPL'!$E:$E,B25,'R DATA BNPL'!$F:$F,'REKAP PERFORMANCE'!$X$6)</f>
        <v>26409000</v>
      </c>
      <c r="Y25" s="47">
        <f>SUMIFS('R DATA BNPL'!$H:$H,'R DATA BNPL'!$E:$E,DAILY[[#This Row],[Date]],'R DATA BNPL'!$F:$F,'REKAP PERFORMANCE'!$X$6)</f>
        <v>1</v>
      </c>
      <c r="Z25" s="47">
        <f>SUMIFS('R DATA BNPL'!$G:$G,'R DATA BNPL'!$E:$E,B25,'R DATA BNPL'!$F:$F,'REKAP PERFORMANCE'!$Z$6)</f>
        <v>0</v>
      </c>
      <c r="AA25" s="47">
        <f>SUMIFS('R DATA BNPL'!$H:$H,'R DATA BNPL'!$E:$E,DAILY[[#This Row],[Date]],'R DATA BNPL'!$F:$F,'REKAP PERFORMANCE'!$Z$6)</f>
        <v>0</v>
      </c>
      <c r="AB25" s="48">
        <f t="shared" si="9"/>
        <v>26409000</v>
      </c>
      <c r="AC25" s="48">
        <f t="shared" si="10"/>
        <v>1</v>
      </c>
      <c r="AD25" s="51">
        <f>SUMIFS('R DATA BNPL'!$G:$G,'R DATA BNPL'!$E:$E,B25,'R DATA BNPL'!$F:$F,'REKAP PERFORMANCE'!$AD$6)</f>
        <v>0</v>
      </c>
      <c r="AE25" s="52">
        <f>SUMIFS('R DATA BNPL'!$H:$H,'R DATA BNPL'!$E:$E,DAILY[[#This Row],[Date]],'R DATA BNPL'!$F:$F,'REKAP PERFORMANCE'!$AD$6)</f>
        <v>0</v>
      </c>
      <c r="AF25" s="33"/>
      <c r="AG25" s="33"/>
      <c r="AH25">
        <f>SUMIFS('R DATA BNPL'!$G:$G,'R DATA BNPL'!$E:$E,B25,'R DATA BNPL'!$F:$F,'REKAP PERFORMANCE'!$AH$6)</f>
        <v>0</v>
      </c>
      <c r="AI25">
        <f>SUMIFS('R DATA BNPL'!$G:$G,'R DATA BNPL'!$E:$E,B25,'R DATA BNPL'!$F:$F,'REKAP PERFORMANCE'!$AI$6)</f>
        <v>0</v>
      </c>
      <c r="AJ25">
        <f>SUMIFS('R DATA BNPL'!$G:$G,'R DATA BNPL'!$E:$E,B25,'R DATA BNPL'!$F:$F,'REKAP PERFORMANCE'!$AJ$6)</f>
        <v>0</v>
      </c>
      <c r="AK25" s="64"/>
      <c r="AL25" s="71"/>
      <c r="AM25" s="76">
        <f>SUMIFS('R DATA BNPL'!$H:$H, 'R DATA BNPL'!$F:$F, 'REKAP PERFORMANCE'!AL25, 'R DATA BNPL'!$I:$I, 'REKAP PERFORMANCE'!$AM$18,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N25" s="76">
        <f>SUMIFS('R DATA BNPL'!$H:$H, 'R DATA BNPL'!$F:$F, 'REKAP PERFORMANCE'!AL25, 'R DATA BNPL'!$I:$I, 'REKAP PERFORMANCE'!$AN$18,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O25" s="76">
        <f>SUMIFS('R DATA BNPL'!$H:$H, 'R DATA BNPL'!$F:$F, 'REKAP PERFORMANCE'!AL25, 'R DATA BNPL'!$I:$I, 'REKAP PERFORMANCE'!$AO$18,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P25" s="76">
        <f>SUMIFS('R DATA BNPL'!$H:$H, 'R DATA BNPL'!$F:$F, 'REKAP PERFORMANCE'!AL25, 'R DATA BNPL'!$I:$I, 'REKAP PERFORMANCE'!$AP$18, 'R DATA BNPL'!$D:$D, 'REKAP PERFORMANCE'!$AM$17, 'R DATA BNPL'!$E:$E, "&gt;="&amp;DATE('REKAP PERFORMANCE'!$A$1, 'REKAP PERFORMANCE'!$A$4, 1), 'R DATA BNPL'!$E:$E, "&lt;="&amp;EOMONTH(DATE('REKAP PERFORMANCE'!$A$1, 'REKAP PERFORMANCE'!$A$4, 1), 0))</f>
        <v>0</v>
      </c>
      <c r="AQ25" s="64"/>
      <c r="AR25" s="64"/>
      <c r="AS25" s="64"/>
      <c r="AT25" s="64"/>
      <c r="AU25" s="64"/>
      <c r="AV25" s="64"/>
      <c r="AW25" s="64"/>
      <c r="AX25" s="64"/>
    </row>
    <row r="26" spans="1:50" ht="14.45">
      <c r="A26" s="2" t="str">
        <f t="shared" si="2"/>
        <v>Minggu</v>
      </c>
      <c r="B26" s="4">
        <f t="shared" si="12"/>
        <v>46285</v>
      </c>
      <c r="C26"/>
      <c r="D26" s="45">
        <f>SUMIFS('R DATA BNPL'!$G:$G,'R DATA BNPL'!$E:$E,B26,'R DATA BNPL'!$F:$F,'REKAP PERFORMANCE'!$D$6)</f>
        <v>0</v>
      </c>
      <c r="E26" s="45">
        <f>SUMIFS('R DATA BNPL'!$H:$H,'R DATA BNPL'!$E:$E,DAILY[[#This Row],[Date]],'R DATA BNPL'!$F:$F,'REKAP PERFORMANCE'!$D$6)</f>
        <v>0</v>
      </c>
      <c r="F26" s="45">
        <f>SUMIFS('R DATA BNPL'!$G:$G,'R DATA BNPL'!$E:$E,B26,'R DATA BNPL'!$F:$F,'REKAP PERFORMANCE'!$F$6)</f>
        <v>0</v>
      </c>
      <c r="G26" s="45">
        <f>SUMIFS('R DATA BNPL'!$H:$H,'R DATA BNPL'!$E:$E,DAILY[[#This Row],[Date]],'R DATA BNPL'!$F:$F,'REKAP PERFORMANCE'!$F$6)</f>
        <v>0</v>
      </c>
      <c r="H26" s="45">
        <f>SUMIFS('R DATA BNPL'!$G:$G,'R DATA BNPL'!$E:$E,B26,'R DATA BNPL'!$F:$F,'REKAP PERFORMANCE'!$H$6)</f>
        <v>0</v>
      </c>
      <c r="I26" s="45">
        <f>SUMIFS('R DATA BNPL'!$H:$H,'R DATA BNPL'!$E:$E,DAILY[[#This Row],[Date]],'R DATA BNPL'!$F:$F,'REKAP PERFORMANCE'!$H$6)</f>
        <v>0</v>
      </c>
      <c r="J26" s="46">
        <f t="shared" si="3"/>
        <v>0</v>
      </c>
      <c r="K26" s="46">
        <f t="shared" si="4"/>
        <v>0</v>
      </c>
      <c r="L26" s="47">
        <f>SUMIFS('R DATA BNPL'!$G:$G,'R DATA BNPL'!$E:$E,B26,'R DATA BNPL'!$F:$F,'REKAP PERFORMANCE'!$L$6)</f>
        <v>0</v>
      </c>
      <c r="M26" s="47">
        <f>SUMIFS('R DATA BNPL'!$H:$H,'R DATA BNPL'!$E:$E,DAILY[[#This Row],[Date]],'R DATA BNPL'!$F:$F,'REKAP PERFORMANCE'!$L$6)</f>
        <v>0</v>
      </c>
      <c r="N26" s="47">
        <f>SUMIFS('R DATA BNPL'!$G:$G,'R DATA BNPL'!$E:$E,B26,'R DATA BNPL'!$F:$F,'REKAP PERFORMANCE'!$N$6)</f>
        <v>0</v>
      </c>
      <c r="O26" s="47">
        <f>SUMIFS('R DATA BNPL'!$H:$H,'R DATA BNPL'!$E:$E,DAILY[[#This Row],[Date]],'R DATA BNPL'!$F:$F,'REKAP PERFORMANCE'!$N$6)</f>
        <v>0</v>
      </c>
      <c r="P26" s="48">
        <f t="shared" si="5"/>
        <v>0</v>
      </c>
      <c r="Q26" s="48">
        <f t="shared" si="6"/>
        <v>0</v>
      </c>
      <c r="R26" s="49">
        <f>SUMIFS('R DATA BNPL'!$G:$G,'R DATA BNPL'!$E:$E,B26,'R DATA BNPL'!$F:$F,'REKAP PERFORMANCE'!$R$6)</f>
        <v>0</v>
      </c>
      <c r="S26" s="49">
        <f>SUMIFS('R DATA BNPL'!$H:$H,'R DATA BNPL'!$E:$E,DAILY[[#This Row],[Date]],'R DATA BNPL'!$F:$F,'REKAP PERFORMANCE'!$R$6)</f>
        <v>0</v>
      </c>
      <c r="T26" s="49">
        <f>SUMIFS('R DATA BNPL'!$G:$G,'R DATA BNPL'!$E:$E,B26,'R DATA BNPL'!$F:$F,'REKAP PERFORMANCE'!$T$6)</f>
        <v>0</v>
      </c>
      <c r="U26" s="49">
        <f>SUMIFS('R DATA BNPL'!$H:$H,'R DATA BNPL'!$E:$E,DAILY[[#This Row],[Date]],'R DATA BNPL'!$F:$F,'REKAP PERFORMANCE'!$T$6)</f>
        <v>0</v>
      </c>
      <c r="V26" s="50">
        <f t="shared" si="7"/>
        <v>0</v>
      </c>
      <c r="W26" s="50">
        <f t="shared" si="8"/>
        <v>0</v>
      </c>
      <c r="X26" s="47">
        <f>SUMIFS('R DATA BNPL'!$G:$G,'R DATA BNPL'!$E:$E,B26,'R DATA BNPL'!$F:$F,'REKAP PERFORMANCE'!$X$6)</f>
        <v>0</v>
      </c>
      <c r="Y26" s="47">
        <f>SUMIFS('R DATA BNPL'!$H:$H,'R DATA BNPL'!$E:$E,DAILY[[#This Row],[Date]],'R DATA BNPL'!$F:$F,'REKAP PERFORMANCE'!$X$6)</f>
        <v>0</v>
      </c>
      <c r="Z26" s="47">
        <f>SUMIFS('R DATA BNPL'!$G:$G,'R DATA BNPL'!$E:$E,B26,'R DATA BNPL'!$F:$F,'REKAP PERFORMANCE'!$Z$6)</f>
        <v>0</v>
      </c>
      <c r="AA26" s="47">
        <f>SUMIFS('R DATA BNPL'!$H:$H,'R DATA BNPL'!$E:$E,DAILY[[#This Row],[Date]],'R DATA BNPL'!$F:$F,'REKAP PERFORMANCE'!$Z$6)</f>
        <v>0</v>
      </c>
      <c r="AB26" s="48">
        <f t="shared" si="9"/>
        <v>0</v>
      </c>
      <c r="AC26" s="48">
        <f t="shared" si="10"/>
        <v>0</v>
      </c>
      <c r="AD26" s="51">
        <f>SUMIFS('R DATA BNPL'!$G:$G,'R DATA BNPL'!$E:$E,B26,'R DATA BNPL'!$F:$F,'REKAP PERFORMANCE'!$AD$6)</f>
        <v>0</v>
      </c>
      <c r="AE26" s="52">
        <f>SUMIFS('R DATA BNPL'!$H:$H,'R DATA BNPL'!$E:$E,DAILY[[#This Row],[Date]],'R DATA BNPL'!$F:$F,'REKAP PERFORMANCE'!$AD$6)</f>
        <v>0</v>
      </c>
      <c r="AF26" s="33"/>
      <c r="AG26" s="33"/>
      <c r="AH26">
        <f>SUMIFS('R DATA BNPL'!$G:$G,'R DATA BNPL'!$E:$E,B26,'R DATA BNPL'!$F:$F,'REKAP PERFORMANCE'!$AH$6)</f>
        <v>0</v>
      </c>
      <c r="AI26">
        <f>SUMIFS('R DATA BNPL'!$G:$G,'R DATA BNPL'!$E:$E,B26,'R DATA BNPL'!$F:$F,'REKAP PERFORMANCE'!$AI$6)</f>
        <v>0</v>
      </c>
      <c r="AJ26">
        <f>SUMIFS('R DATA BNPL'!$G:$G,'R DATA BNPL'!$E:$E,B26,'R DATA BNPL'!$F:$F,'REKAP PERFORMANCE'!$AJ$6)</f>
        <v>0</v>
      </c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</row>
    <row r="27" spans="1:50" ht="14.45">
      <c r="A27" s="2" t="str">
        <f t="shared" si="2"/>
        <v>Senin</v>
      </c>
      <c r="B27" s="4">
        <f t="shared" si="12"/>
        <v>46286</v>
      </c>
      <c r="C27"/>
      <c r="D27" s="45">
        <f>SUMIFS('R DATA BNPL'!$G:$G,'R DATA BNPL'!$E:$E,B27,'R DATA BNPL'!$F:$F,'REKAP PERFORMANCE'!$D$6)</f>
        <v>0</v>
      </c>
      <c r="E27" s="45">
        <f>SUMIFS('R DATA BNPL'!$H:$H,'R DATA BNPL'!$E:$E,DAILY[[#This Row],[Date]],'R DATA BNPL'!$F:$F,'REKAP PERFORMANCE'!$D$6)</f>
        <v>0</v>
      </c>
      <c r="F27" s="45">
        <f>SUMIFS('R DATA BNPL'!$G:$G,'R DATA BNPL'!$E:$E,B27,'R DATA BNPL'!$F:$F,'REKAP PERFORMANCE'!$F$6)</f>
        <v>0</v>
      </c>
      <c r="G27" s="45">
        <f>SUMIFS('R DATA BNPL'!$H:$H,'R DATA BNPL'!$E:$E,DAILY[[#This Row],[Date]],'R DATA BNPL'!$F:$F,'REKAP PERFORMANCE'!$F$6)</f>
        <v>0</v>
      </c>
      <c r="H27" s="45">
        <f>SUMIFS('R DATA BNPL'!$G:$G,'R DATA BNPL'!$E:$E,B27,'R DATA BNPL'!$F:$F,'REKAP PERFORMANCE'!$H$6)</f>
        <v>0</v>
      </c>
      <c r="I27" s="45">
        <f>SUMIFS('R DATA BNPL'!$H:$H,'R DATA BNPL'!$E:$E,DAILY[[#This Row],[Date]],'R DATA BNPL'!$F:$F,'REKAP PERFORMANCE'!$H$6)</f>
        <v>0</v>
      </c>
      <c r="J27" s="46">
        <f t="shared" si="3"/>
        <v>0</v>
      </c>
      <c r="K27" s="46">
        <f t="shared" si="4"/>
        <v>0</v>
      </c>
      <c r="L27" s="47">
        <f>SUMIFS('R DATA BNPL'!$G:$G,'R DATA BNPL'!$E:$E,B27,'R DATA BNPL'!$F:$F,'REKAP PERFORMANCE'!$L$6)</f>
        <v>0</v>
      </c>
      <c r="M27" s="47">
        <f>SUMIFS('R DATA BNPL'!$H:$H,'R DATA BNPL'!$E:$E,DAILY[[#This Row],[Date]],'R DATA BNPL'!$F:$F,'REKAP PERFORMANCE'!$L$6)</f>
        <v>0</v>
      </c>
      <c r="N27" s="47">
        <f>SUMIFS('R DATA BNPL'!$G:$G,'R DATA BNPL'!$E:$E,B27,'R DATA BNPL'!$F:$F,'REKAP PERFORMANCE'!$N$6)</f>
        <v>0</v>
      </c>
      <c r="O27" s="47">
        <f>SUMIFS('R DATA BNPL'!$H:$H,'R DATA BNPL'!$E:$E,DAILY[[#This Row],[Date]],'R DATA BNPL'!$F:$F,'REKAP PERFORMANCE'!$N$6)</f>
        <v>0</v>
      </c>
      <c r="P27" s="48">
        <f t="shared" si="5"/>
        <v>0</v>
      </c>
      <c r="Q27" s="48">
        <f t="shared" si="6"/>
        <v>0</v>
      </c>
      <c r="R27" s="49">
        <f>SUMIFS('R DATA BNPL'!$G:$G,'R DATA BNPL'!$E:$E,B27,'R DATA BNPL'!$F:$F,'REKAP PERFORMANCE'!$R$6)</f>
        <v>0</v>
      </c>
      <c r="S27" s="49">
        <f>SUMIFS('R DATA BNPL'!$H:$H,'R DATA BNPL'!$E:$E,DAILY[[#This Row],[Date]],'R DATA BNPL'!$F:$F,'REKAP PERFORMANCE'!$R$6)</f>
        <v>0</v>
      </c>
      <c r="T27" s="49">
        <f>SUMIFS('R DATA BNPL'!$G:$G,'R DATA BNPL'!$E:$E,B27,'R DATA BNPL'!$F:$F,'REKAP PERFORMANCE'!$T$6)</f>
        <v>0</v>
      </c>
      <c r="U27" s="49">
        <f>SUMIFS('R DATA BNPL'!$H:$H,'R DATA BNPL'!$E:$E,DAILY[[#This Row],[Date]],'R DATA BNPL'!$F:$F,'REKAP PERFORMANCE'!$T$6)</f>
        <v>0</v>
      </c>
      <c r="V27" s="50">
        <f t="shared" si="7"/>
        <v>0</v>
      </c>
      <c r="W27" s="50">
        <f t="shared" si="8"/>
        <v>0</v>
      </c>
      <c r="X27" s="47">
        <f>SUMIFS('R DATA BNPL'!$G:$G,'R DATA BNPL'!$E:$E,B27,'R DATA BNPL'!$F:$F,'REKAP PERFORMANCE'!$X$6)</f>
        <v>0</v>
      </c>
      <c r="Y27" s="47">
        <f>SUMIFS('R DATA BNPL'!$H:$H,'R DATA BNPL'!$E:$E,DAILY[[#This Row],[Date]],'R DATA BNPL'!$F:$F,'REKAP PERFORMANCE'!$X$6)</f>
        <v>0</v>
      </c>
      <c r="Z27" s="47">
        <f>SUMIFS('R DATA BNPL'!$G:$G,'R DATA BNPL'!$E:$E,B27,'R DATA BNPL'!$F:$F,'REKAP PERFORMANCE'!$Z$6)</f>
        <v>0</v>
      </c>
      <c r="AA27" s="47">
        <f>SUMIFS('R DATA BNPL'!$H:$H,'R DATA BNPL'!$E:$E,DAILY[[#This Row],[Date]],'R DATA BNPL'!$F:$F,'REKAP PERFORMANCE'!$Z$6)</f>
        <v>0</v>
      </c>
      <c r="AB27" s="48">
        <f t="shared" si="9"/>
        <v>0</v>
      </c>
      <c r="AC27" s="48">
        <f t="shared" si="10"/>
        <v>0</v>
      </c>
      <c r="AD27" s="51">
        <f>SUMIFS('R DATA BNPL'!$G:$G,'R DATA BNPL'!$E:$E,B27,'R DATA BNPL'!$F:$F,'REKAP PERFORMANCE'!$AD$6)</f>
        <v>0</v>
      </c>
      <c r="AE27" s="52">
        <f>SUMIFS('R DATA BNPL'!$H:$H,'R DATA BNPL'!$E:$E,DAILY[[#This Row],[Date]],'R DATA BNPL'!$F:$F,'REKAP PERFORMANCE'!$AD$6)</f>
        <v>0</v>
      </c>
      <c r="AF27" s="33"/>
      <c r="AG27" s="33"/>
      <c r="AH27">
        <f>SUMIFS('R DATA BNPL'!$G:$G,'R DATA BNPL'!$E:$E,B27,'R DATA BNPL'!$F:$F,'REKAP PERFORMANCE'!$AH$6)</f>
        <v>0</v>
      </c>
      <c r="AI27">
        <f>SUMIFS('R DATA BNPL'!$G:$G,'R DATA BNPL'!$E:$E,B27,'R DATA BNPL'!$F:$F,'REKAP PERFORMANCE'!$AI$6)</f>
        <v>0</v>
      </c>
      <c r="AJ27">
        <f>SUMIFS('R DATA BNPL'!$G:$G,'R DATA BNPL'!$E:$E,B27,'R DATA BNPL'!$F:$F,'REKAP PERFORMANCE'!$AJ$6)</f>
        <v>0</v>
      </c>
      <c r="AK27" s="64"/>
    </row>
    <row r="28" spans="1:50" ht="14.45">
      <c r="A28" s="2" t="str">
        <f t="shared" si="2"/>
        <v>Selasa</v>
      </c>
      <c r="B28" s="4">
        <f t="shared" si="12"/>
        <v>46287</v>
      </c>
      <c r="C28"/>
      <c r="D28" s="45">
        <f>SUMIFS('R DATA BNPL'!$G:$G,'R DATA BNPL'!$E:$E,B28,'R DATA BNPL'!$F:$F,'REKAP PERFORMANCE'!$D$6)</f>
        <v>0</v>
      </c>
      <c r="E28" s="45">
        <f>SUMIFS('R DATA BNPL'!$H:$H,'R DATA BNPL'!$E:$E,DAILY[[#This Row],[Date]],'R DATA BNPL'!$F:$F,'REKAP PERFORMANCE'!$D$6)</f>
        <v>0</v>
      </c>
      <c r="F28" s="45">
        <f>SUMIFS('R DATA BNPL'!$G:$G,'R DATA BNPL'!$E:$E,B28,'R DATA BNPL'!$F:$F,'REKAP PERFORMANCE'!$F$6)</f>
        <v>0</v>
      </c>
      <c r="G28" s="45">
        <f>SUMIFS('R DATA BNPL'!$H:$H,'R DATA BNPL'!$E:$E,DAILY[[#This Row],[Date]],'R DATA BNPL'!$F:$F,'REKAP PERFORMANCE'!$F$6)</f>
        <v>0</v>
      </c>
      <c r="H28" s="45">
        <f>SUMIFS('R DATA BNPL'!$G:$G,'R DATA BNPL'!$E:$E,B28,'R DATA BNPL'!$F:$F,'REKAP PERFORMANCE'!$H$6)</f>
        <v>28672890</v>
      </c>
      <c r="I28" s="45">
        <f>SUMIFS('R DATA BNPL'!$H:$H,'R DATA BNPL'!$E:$E,DAILY[[#This Row],[Date]],'R DATA BNPL'!$F:$F,'REKAP PERFORMANCE'!$H$6)</f>
        <v>2</v>
      </c>
      <c r="J28" s="46">
        <f t="shared" si="3"/>
        <v>28672890</v>
      </c>
      <c r="K28" s="46">
        <f t="shared" si="4"/>
        <v>2</v>
      </c>
      <c r="L28" s="47">
        <f>SUMIFS('R DATA BNPL'!$G:$G,'R DATA BNPL'!$E:$E,B28,'R DATA BNPL'!$F:$F,'REKAP PERFORMANCE'!$L$6)</f>
        <v>0</v>
      </c>
      <c r="M28" s="47">
        <f>SUMIFS('R DATA BNPL'!$H:$H,'R DATA BNPL'!$E:$E,DAILY[[#This Row],[Date]],'R DATA BNPL'!$F:$F,'REKAP PERFORMANCE'!$L$6)</f>
        <v>0</v>
      </c>
      <c r="N28" s="47">
        <f>SUMIFS('R DATA BNPL'!$G:$G,'R DATA BNPL'!$E:$E,B28,'R DATA BNPL'!$F:$F,'REKAP PERFORMANCE'!$N$6)</f>
        <v>0</v>
      </c>
      <c r="O28" s="47">
        <f>SUMIFS('R DATA BNPL'!$H:$H,'R DATA BNPL'!$E:$E,DAILY[[#This Row],[Date]],'R DATA BNPL'!$F:$F,'REKAP PERFORMANCE'!$N$6)</f>
        <v>0</v>
      </c>
      <c r="P28" s="48">
        <f t="shared" si="5"/>
        <v>0</v>
      </c>
      <c r="Q28" s="48">
        <f t="shared" si="6"/>
        <v>0</v>
      </c>
      <c r="R28" s="49">
        <f>SUMIFS('R DATA BNPL'!$G:$G,'R DATA BNPL'!$E:$E,B28,'R DATA BNPL'!$F:$F,'REKAP PERFORMANCE'!$R$6)</f>
        <v>0</v>
      </c>
      <c r="S28" s="49">
        <f>SUMIFS('R DATA BNPL'!$H:$H,'R DATA BNPL'!$E:$E,DAILY[[#This Row],[Date]],'R DATA BNPL'!$F:$F,'REKAP PERFORMANCE'!$R$6)</f>
        <v>0</v>
      </c>
      <c r="T28" s="49">
        <f>SUMIFS('R DATA BNPL'!$G:$G,'R DATA BNPL'!$E:$E,B28,'R DATA BNPL'!$F:$F,'REKAP PERFORMANCE'!$T$6)</f>
        <v>0</v>
      </c>
      <c r="U28" s="49">
        <f>SUMIFS('R DATA BNPL'!$H:$H,'R DATA BNPL'!$E:$E,DAILY[[#This Row],[Date]],'R DATA BNPL'!$F:$F,'REKAP PERFORMANCE'!$T$6)</f>
        <v>0</v>
      </c>
      <c r="V28" s="50">
        <f t="shared" si="7"/>
        <v>0</v>
      </c>
      <c r="W28" s="50">
        <f t="shared" si="8"/>
        <v>0</v>
      </c>
      <c r="X28" s="47">
        <f>SUMIFS('R DATA BNPL'!$G:$G,'R DATA BNPL'!$E:$E,B28,'R DATA BNPL'!$F:$F,'REKAP PERFORMANCE'!$X$6)</f>
        <v>0</v>
      </c>
      <c r="Y28" s="47">
        <f>SUMIFS('R DATA BNPL'!$H:$H,'R DATA BNPL'!$E:$E,DAILY[[#This Row],[Date]],'R DATA BNPL'!$F:$F,'REKAP PERFORMANCE'!$X$6)</f>
        <v>0</v>
      </c>
      <c r="Z28" s="47">
        <f>SUMIFS('R DATA BNPL'!$G:$G,'R DATA BNPL'!$E:$E,B28,'R DATA BNPL'!$F:$F,'REKAP PERFORMANCE'!$Z$6)</f>
        <v>0</v>
      </c>
      <c r="AA28" s="47">
        <f>SUMIFS('R DATA BNPL'!$H:$H,'R DATA BNPL'!$E:$E,DAILY[[#This Row],[Date]],'R DATA BNPL'!$F:$F,'REKAP PERFORMANCE'!$Z$6)</f>
        <v>0</v>
      </c>
      <c r="AB28" s="48">
        <f t="shared" si="9"/>
        <v>0</v>
      </c>
      <c r="AC28" s="48">
        <f t="shared" si="10"/>
        <v>0</v>
      </c>
      <c r="AD28" s="51">
        <f>SUMIFS('R DATA BNPL'!$G:$G,'R DATA BNPL'!$E:$E,B28,'R DATA BNPL'!$F:$F,'REKAP PERFORMANCE'!$AD$6)</f>
        <v>0</v>
      </c>
      <c r="AE28" s="52">
        <f>SUMIFS('R DATA BNPL'!$H:$H,'R DATA BNPL'!$E:$E,DAILY[[#This Row],[Date]],'R DATA BNPL'!$F:$F,'REKAP PERFORMANCE'!$AD$6)</f>
        <v>0</v>
      </c>
      <c r="AF28" s="33"/>
      <c r="AG28" s="33"/>
      <c r="AH28">
        <f>SUMIFS('R DATA BNPL'!$G:$G,'R DATA BNPL'!$E:$E,B28,'R DATA BNPL'!$F:$F,'REKAP PERFORMANCE'!$AH$6)</f>
        <v>0</v>
      </c>
      <c r="AI28">
        <f>SUMIFS('R DATA BNPL'!$G:$G,'R DATA BNPL'!$E:$E,B28,'R DATA BNPL'!$F:$F,'REKAP PERFORMANCE'!$AI$6)</f>
        <v>0</v>
      </c>
      <c r="AJ28">
        <f>SUMIFS('R DATA BNPL'!$G:$G,'R DATA BNPL'!$E:$E,B28,'R DATA BNPL'!$F:$F,'REKAP PERFORMANCE'!$AJ$6)</f>
        <v>0</v>
      </c>
      <c r="AK28" s="64"/>
    </row>
    <row r="29" spans="1:50" ht="14.45">
      <c r="A29" s="2" t="str">
        <f t="shared" si="2"/>
        <v>Rabu</v>
      </c>
      <c r="B29" s="4">
        <f t="shared" si="12"/>
        <v>46288</v>
      </c>
      <c r="C29"/>
      <c r="D29" s="45">
        <f>SUMIFS('R DATA BNPL'!$G:$G,'R DATA BNPL'!$E:$E,B29,'R DATA BNPL'!$F:$F,'REKAP PERFORMANCE'!$D$6)</f>
        <v>0</v>
      </c>
      <c r="E29" s="45">
        <f>SUMIFS('R DATA BNPL'!$H:$H,'R DATA BNPL'!$E:$E,DAILY[[#This Row],[Date]],'R DATA BNPL'!$F:$F,'REKAP PERFORMANCE'!$D$6)</f>
        <v>0</v>
      </c>
      <c r="F29" s="45">
        <f>SUMIFS('R DATA BNPL'!$G:$G,'R DATA BNPL'!$E:$E,B29,'R DATA BNPL'!$F:$F,'REKAP PERFORMANCE'!$F$6)</f>
        <v>0</v>
      </c>
      <c r="G29" s="45">
        <f>SUMIFS('R DATA BNPL'!$H:$H,'R DATA BNPL'!$E:$E,DAILY[[#This Row],[Date]],'R DATA BNPL'!$F:$F,'REKAP PERFORMANCE'!$F$6)</f>
        <v>0</v>
      </c>
      <c r="H29" s="45">
        <f>SUMIFS('R DATA BNPL'!$G:$G,'R DATA BNPL'!$E:$E,B29,'R DATA BNPL'!$F:$F,'REKAP PERFORMANCE'!$H$6)</f>
        <v>0</v>
      </c>
      <c r="I29" s="45">
        <f>SUMIFS('R DATA BNPL'!$H:$H,'R DATA BNPL'!$E:$E,DAILY[[#This Row],[Date]],'R DATA BNPL'!$F:$F,'REKAP PERFORMANCE'!$H$6)</f>
        <v>0</v>
      </c>
      <c r="J29" s="46">
        <f t="shared" si="3"/>
        <v>0</v>
      </c>
      <c r="K29" s="46">
        <f t="shared" si="4"/>
        <v>0</v>
      </c>
      <c r="L29" s="47">
        <f>SUMIFS('R DATA BNPL'!$G:$G,'R DATA BNPL'!$E:$E,B29,'R DATA BNPL'!$F:$F,'REKAP PERFORMANCE'!$L$6)</f>
        <v>0</v>
      </c>
      <c r="M29" s="47">
        <f>SUMIFS('R DATA BNPL'!$H:$H,'R DATA BNPL'!$E:$E,DAILY[[#This Row],[Date]],'R DATA BNPL'!$F:$F,'REKAP PERFORMANCE'!$L$6)</f>
        <v>0</v>
      </c>
      <c r="N29" s="47">
        <f>SUMIFS('R DATA BNPL'!$G:$G,'R DATA BNPL'!$E:$E,B29,'R DATA BNPL'!$F:$F,'REKAP PERFORMANCE'!$N$6)</f>
        <v>0</v>
      </c>
      <c r="O29" s="47">
        <f>SUMIFS('R DATA BNPL'!$H:$H,'R DATA BNPL'!$E:$E,DAILY[[#This Row],[Date]],'R DATA BNPL'!$F:$F,'REKAP PERFORMANCE'!$N$6)</f>
        <v>0</v>
      </c>
      <c r="P29" s="48">
        <f t="shared" si="5"/>
        <v>0</v>
      </c>
      <c r="Q29" s="48">
        <f t="shared" si="6"/>
        <v>0</v>
      </c>
      <c r="R29" s="49">
        <f>SUMIFS('R DATA BNPL'!$G:$G,'R DATA BNPL'!$E:$E,B29,'R DATA BNPL'!$F:$F,'REKAP PERFORMANCE'!$R$6)</f>
        <v>0</v>
      </c>
      <c r="S29" s="49">
        <f>SUMIFS('R DATA BNPL'!$H:$H,'R DATA BNPL'!$E:$E,DAILY[[#This Row],[Date]],'R DATA BNPL'!$F:$F,'REKAP PERFORMANCE'!$R$6)</f>
        <v>0</v>
      </c>
      <c r="T29" s="49">
        <f>SUMIFS('R DATA BNPL'!$G:$G,'R DATA BNPL'!$E:$E,B29,'R DATA BNPL'!$F:$F,'REKAP PERFORMANCE'!$T$6)</f>
        <v>0</v>
      </c>
      <c r="U29" s="49">
        <f>SUMIFS('R DATA BNPL'!$H:$H,'R DATA BNPL'!$E:$E,DAILY[[#This Row],[Date]],'R DATA BNPL'!$F:$F,'REKAP PERFORMANCE'!$T$6)</f>
        <v>0</v>
      </c>
      <c r="V29" s="50">
        <f t="shared" si="7"/>
        <v>0</v>
      </c>
      <c r="W29" s="50">
        <f t="shared" si="8"/>
        <v>0</v>
      </c>
      <c r="X29" s="47">
        <f>SUMIFS('R DATA BNPL'!$G:$G,'R DATA BNPL'!$E:$E,B29,'R DATA BNPL'!$F:$F,'REKAP PERFORMANCE'!$X$6)</f>
        <v>0</v>
      </c>
      <c r="Y29" s="47">
        <f>SUMIFS('R DATA BNPL'!$H:$H,'R DATA BNPL'!$E:$E,DAILY[[#This Row],[Date]],'R DATA BNPL'!$F:$F,'REKAP PERFORMANCE'!$X$6)</f>
        <v>0</v>
      </c>
      <c r="Z29" s="47">
        <f>SUMIFS('R DATA BNPL'!$G:$G,'R DATA BNPL'!$E:$E,B29,'R DATA BNPL'!$F:$F,'REKAP PERFORMANCE'!$Z$6)</f>
        <v>0</v>
      </c>
      <c r="AA29" s="47">
        <f>SUMIFS('R DATA BNPL'!$H:$H,'R DATA BNPL'!$E:$E,DAILY[[#This Row],[Date]],'R DATA BNPL'!$F:$F,'REKAP PERFORMANCE'!$Z$6)</f>
        <v>0</v>
      </c>
      <c r="AB29" s="48">
        <f t="shared" si="9"/>
        <v>0</v>
      </c>
      <c r="AC29" s="48">
        <f t="shared" si="10"/>
        <v>0</v>
      </c>
      <c r="AD29" s="51">
        <f>SUMIFS('R DATA BNPL'!$G:$G,'R DATA BNPL'!$E:$E,B29,'R DATA BNPL'!$F:$F,'REKAP PERFORMANCE'!$AD$6)</f>
        <v>0</v>
      </c>
      <c r="AE29" s="52">
        <f>SUMIFS('R DATA BNPL'!$H:$H,'R DATA BNPL'!$E:$E,DAILY[[#This Row],[Date]],'R DATA BNPL'!$F:$F,'REKAP PERFORMANCE'!$AD$6)</f>
        <v>0</v>
      </c>
      <c r="AF29" s="33"/>
      <c r="AG29" s="33"/>
      <c r="AH29">
        <f>SUMIFS('R DATA BNPL'!$G:$G,'R DATA BNPL'!$E:$E,B29,'R DATA BNPL'!$F:$F,'REKAP PERFORMANCE'!$AH$6)</f>
        <v>0</v>
      </c>
      <c r="AI29">
        <f>SUMIFS('R DATA BNPL'!$G:$G,'R DATA BNPL'!$E:$E,B29,'R DATA BNPL'!$F:$F,'REKAP PERFORMANCE'!$AI$6)</f>
        <v>0</v>
      </c>
      <c r="AJ29">
        <f>SUMIFS('R DATA BNPL'!$G:$G,'R DATA BNPL'!$E:$E,B29,'R DATA BNPL'!$F:$F,'REKAP PERFORMANCE'!$AJ$6)</f>
        <v>0</v>
      </c>
      <c r="AK29" s="64"/>
    </row>
    <row r="30" spans="1:50" ht="14.45">
      <c r="A30" s="2" t="str">
        <f t="shared" si="2"/>
        <v>Kamis</v>
      </c>
      <c r="B30" s="4">
        <f t="shared" si="12"/>
        <v>46289</v>
      </c>
      <c r="C30"/>
      <c r="D30" s="45">
        <f>SUMIFS('R DATA BNPL'!$G:$G,'R DATA BNPL'!$E:$E,B30,'R DATA BNPL'!$F:$F,'REKAP PERFORMANCE'!$D$6)</f>
        <v>0</v>
      </c>
      <c r="E30" s="45">
        <f>SUMIFS('R DATA BNPL'!$H:$H,'R DATA BNPL'!$E:$E,DAILY[[#This Row],[Date]],'R DATA BNPL'!$F:$F,'REKAP PERFORMANCE'!$D$6)</f>
        <v>0</v>
      </c>
      <c r="F30" s="45">
        <f>SUMIFS('R DATA BNPL'!$G:$G,'R DATA BNPL'!$E:$E,B30,'R DATA BNPL'!$F:$F,'REKAP PERFORMANCE'!$F$6)</f>
        <v>0</v>
      </c>
      <c r="G30" s="45">
        <f>SUMIFS('R DATA BNPL'!$H:$H,'R DATA BNPL'!$E:$E,DAILY[[#This Row],[Date]],'R DATA BNPL'!$F:$F,'REKAP PERFORMANCE'!$F$6)</f>
        <v>0</v>
      </c>
      <c r="H30" s="45">
        <f>SUMIFS('R DATA BNPL'!$G:$G,'R DATA BNPL'!$E:$E,B30,'R DATA BNPL'!$F:$F,'REKAP PERFORMANCE'!$H$6)</f>
        <v>0</v>
      </c>
      <c r="I30" s="45">
        <f>SUMIFS('R DATA BNPL'!$H:$H,'R DATA BNPL'!$E:$E,DAILY[[#This Row],[Date]],'R DATA BNPL'!$F:$F,'REKAP PERFORMANCE'!$H$6)</f>
        <v>0</v>
      </c>
      <c r="J30" s="46">
        <f t="shared" si="3"/>
        <v>0</v>
      </c>
      <c r="K30" s="46">
        <f t="shared" si="4"/>
        <v>0</v>
      </c>
      <c r="L30" s="47">
        <f>SUMIFS('R DATA BNPL'!$G:$G,'R DATA BNPL'!$E:$E,B30,'R DATA BNPL'!$F:$F,'REKAP PERFORMANCE'!$L$6)</f>
        <v>0</v>
      </c>
      <c r="M30" s="47">
        <f>SUMIFS('R DATA BNPL'!$H:$H,'R DATA BNPL'!$E:$E,DAILY[[#This Row],[Date]],'R DATA BNPL'!$F:$F,'REKAP PERFORMANCE'!$L$6)</f>
        <v>0</v>
      </c>
      <c r="N30" s="47">
        <f>SUMIFS('R DATA BNPL'!$G:$G,'R DATA BNPL'!$E:$E,B30,'R DATA BNPL'!$F:$F,'REKAP PERFORMANCE'!$N$6)</f>
        <v>0</v>
      </c>
      <c r="O30" s="47">
        <f>SUMIFS('R DATA BNPL'!$H:$H,'R DATA BNPL'!$E:$E,DAILY[[#This Row],[Date]],'R DATA BNPL'!$F:$F,'REKAP PERFORMANCE'!$N$6)</f>
        <v>0</v>
      </c>
      <c r="P30" s="48">
        <f t="shared" si="5"/>
        <v>0</v>
      </c>
      <c r="Q30" s="48">
        <f t="shared" si="6"/>
        <v>0</v>
      </c>
      <c r="R30" s="49">
        <f>SUMIFS('R DATA BNPL'!$G:$G,'R DATA BNPL'!$E:$E,B30,'R DATA BNPL'!$F:$F,'REKAP PERFORMANCE'!$R$6)</f>
        <v>0</v>
      </c>
      <c r="S30" s="49">
        <f>SUMIFS('R DATA BNPL'!$H:$H,'R DATA BNPL'!$E:$E,DAILY[[#This Row],[Date]],'R DATA BNPL'!$F:$F,'REKAP PERFORMANCE'!$R$6)</f>
        <v>0</v>
      </c>
      <c r="T30" s="49">
        <f>SUMIFS('R DATA BNPL'!$G:$G,'R DATA BNPL'!$E:$E,B30,'R DATA BNPL'!$F:$F,'REKAP PERFORMANCE'!$T$6)</f>
        <v>0</v>
      </c>
      <c r="U30" s="49">
        <f>SUMIFS('R DATA BNPL'!$H:$H,'R DATA BNPL'!$E:$E,DAILY[[#This Row],[Date]],'R DATA BNPL'!$F:$F,'REKAP PERFORMANCE'!$T$6)</f>
        <v>0</v>
      </c>
      <c r="V30" s="50">
        <f t="shared" si="7"/>
        <v>0</v>
      </c>
      <c r="W30" s="50">
        <f t="shared" si="8"/>
        <v>0</v>
      </c>
      <c r="X30" s="47">
        <f>SUMIFS('R DATA BNPL'!$G:$G,'R DATA BNPL'!$E:$E,B30,'R DATA BNPL'!$F:$F,'REKAP PERFORMANCE'!$X$6)</f>
        <v>0</v>
      </c>
      <c r="Y30" s="47">
        <f>SUMIFS('R DATA BNPL'!$H:$H,'R DATA BNPL'!$E:$E,DAILY[[#This Row],[Date]],'R DATA BNPL'!$F:$F,'REKAP PERFORMANCE'!$X$6)</f>
        <v>0</v>
      </c>
      <c r="Z30" s="47">
        <f>SUMIFS('R DATA BNPL'!$G:$G,'R DATA BNPL'!$E:$E,B30,'R DATA BNPL'!$F:$F,'REKAP PERFORMANCE'!$Z$6)</f>
        <v>0</v>
      </c>
      <c r="AA30" s="47">
        <f>SUMIFS('R DATA BNPL'!$H:$H,'R DATA BNPL'!$E:$E,DAILY[[#This Row],[Date]],'R DATA BNPL'!$F:$F,'REKAP PERFORMANCE'!$Z$6)</f>
        <v>0</v>
      </c>
      <c r="AB30" s="48">
        <f t="shared" si="9"/>
        <v>0</v>
      </c>
      <c r="AC30" s="48">
        <f t="shared" si="10"/>
        <v>0</v>
      </c>
      <c r="AD30" s="51">
        <f>SUMIFS('R DATA BNPL'!$G:$G,'R DATA BNPL'!$E:$E,B30,'R DATA BNPL'!$F:$F,'REKAP PERFORMANCE'!$AD$6)</f>
        <v>0</v>
      </c>
      <c r="AE30" s="52">
        <f>SUMIFS('R DATA BNPL'!$H:$H,'R DATA BNPL'!$E:$E,DAILY[[#This Row],[Date]],'R DATA BNPL'!$F:$F,'REKAP PERFORMANCE'!$AD$6)</f>
        <v>0</v>
      </c>
      <c r="AF30" s="33"/>
      <c r="AG30" s="33"/>
      <c r="AH30">
        <f>SUMIFS('R DATA BNPL'!$G:$G,'R DATA BNPL'!$E:$E,B30,'R DATA BNPL'!$F:$F,'REKAP PERFORMANCE'!$AH$6)</f>
        <v>0</v>
      </c>
      <c r="AI30">
        <f>SUMIFS('R DATA BNPL'!$G:$G,'R DATA BNPL'!$E:$E,B30,'R DATA BNPL'!$F:$F,'REKAP PERFORMANCE'!$AI$6)</f>
        <v>0</v>
      </c>
      <c r="AJ30">
        <f>SUMIFS('R DATA BNPL'!$G:$G,'R DATA BNPL'!$E:$E,B30,'R DATA BNPL'!$F:$F,'REKAP PERFORMANCE'!$AJ$6)</f>
        <v>0</v>
      </c>
      <c r="AK30" s="64"/>
    </row>
    <row r="31" spans="1:50" ht="14.45">
      <c r="A31" s="2" t="str">
        <f t="shared" si="2"/>
        <v>Jumat</v>
      </c>
      <c r="B31" s="4">
        <f t="shared" si="12"/>
        <v>46290</v>
      </c>
      <c r="C31"/>
      <c r="D31" s="45">
        <f>SUMIFS('R DATA BNPL'!$G:$G,'R DATA BNPL'!$E:$E,B31,'R DATA BNPL'!$F:$F,'REKAP PERFORMANCE'!$D$6)</f>
        <v>0</v>
      </c>
      <c r="E31" s="45">
        <f>SUMIFS('R DATA BNPL'!$H:$H,'R DATA BNPL'!$E:$E,DAILY[[#This Row],[Date]],'R DATA BNPL'!$F:$F,'REKAP PERFORMANCE'!$D$6)</f>
        <v>0</v>
      </c>
      <c r="F31" s="45">
        <f>SUMIFS('R DATA BNPL'!$G:$G,'R DATA BNPL'!$E:$E,B31,'R DATA BNPL'!$F:$F,'REKAP PERFORMANCE'!$F$6)</f>
        <v>0</v>
      </c>
      <c r="G31" s="45">
        <f>SUMIFS('R DATA BNPL'!$H:$H,'R DATA BNPL'!$E:$E,DAILY[[#This Row],[Date]],'R DATA BNPL'!$F:$F,'REKAP PERFORMANCE'!$F$6)</f>
        <v>0</v>
      </c>
      <c r="H31" s="45">
        <f>SUMIFS('R DATA BNPL'!$G:$G,'R DATA BNPL'!$E:$E,B31,'R DATA BNPL'!$F:$F,'REKAP PERFORMANCE'!$H$6)</f>
        <v>0</v>
      </c>
      <c r="I31" s="45">
        <f>SUMIFS('R DATA BNPL'!$H:$H,'R DATA BNPL'!$E:$E,DAILY[[#This Row],[Date]],'R DATA BNPL'!$F:$F,'REKAP PERFORMANCE'!$H$6)</f>
        <v>0</v>
      </c>
      <c r="J31" s="46">
        <f t="shared" si="3"/>
        <v>0</v>
      </c>
      <c r="K31" s="46">
        <f t="shared" si="4"/>
        <v>0</v>
      </c>
      <c r="L31" s="47">
        <f>SUMIFS('R DATA BNPL'!$G:$G,'R DATA BNPL'!$E:$E,B31,'R DATA BNPL'!$F:$F,'REKAP PERFORMANCE'!$L$6)</f>
        <v>0</v>
      </c>
      <c r="M31" s="47">
        <f>SUMIFS('R DATA BNPL'!$H:$H,'R DATA BNPL'!$E:$E,DAILY[[#This Row],[Date]],'R DATA BNPL'!$F:$F,'REKAP PERFORMANCE'!$L$6)</f>
        <v>0</v>
      </c>
      <c r="N31" s="47">
        <f>SUMIFS('R DATA BNPL'!$G:$G,'R DATA BNPL'!$E:$E,B31,'R DATA BNPL'!$F:$F,'REKAP PERFORMANCE'!$N$6)</f>
        <v>0</v>
      </c>
      <c r="O31" s="47">
        <f>SUMIFS('R DATA BNPL'!$H:$H,'R DATA BNPL'!$E:$E,DAILY[[#This Row],[Date]],'R DATA BNPL'!$F:$F,'REKAP PERFORMANCE'!$N$6)</f>
        <v>0</v>
      </c>
      <c r="P31" s="48">
        <f t="shared" si="5"/>
        <v>0</v>
      </c>
      <c r="Q31" s="48">
        <f t="shared" si="6"/>
        <v>0</v>
      </c>
      <c r="R31" s="49">
        <f>SUMIFS('R DATA BNPL'!$G:$G,'R DATA BNPL'!$E:$E,B31,'R DATA BNPL'!$F:$F,'REKAP PERFORMANCE'!$R$6)</f>
        <v>0</v>
      </c>
      <c r="S31" s="49">
        <f>SUMIFS('R DATA BNPL'!$H:$H,'R DATA BNPL'!$E:$E,DAILY[[#This Row],[Date]],'R DATA BNPL'!$F:$F,'REKAP PERFORMANCE'!$R$6)</f>
        <v>0</v>
      </c>
      <c r="T31" s="49">
        <f>SUMIFS('R DATA BNPL'!$G:$G,'R DATA BNPL'!$E:$E,B31,'R DATA BNPL'!$F:$F,'REKAP PERFORMANCE'!$T$6)</f>
        <v>0</v>
      </c>
      <c r="U31" s="49">
        <f>SUMIFS('R DATA BNPL'!$H:$H,'R DATA BNPL'!$E:$E,DAILY[[#This Row],[Date]],'R DATA BNPL'!$F:$F,'REKAP PERFORMANCE'!$T$6)</f>
        <v>0</v>
      </c>
      <c r="V31" s="50">
        <f t="shared" si="7"/>
        <v>0</v>
      </c>
      <c r="W31" s="50">
        <f t="shared" si="8"/>
        <v>0</v>
      </c>
      <c r="X31" s="47">
        <f>SUMIFS('R DATA BNPL'!$G:$G,'R DATA BNPL'!$E:$E,B31,'R DATA BNPL'!$F:$F,'REKAP PERFORMANCE'!$X$6)</f>
        <v>0</v>
      </c>
      <c r="Y31" s="47">
        <f>SUMIFS('R DATA BNPL'!$H:$H,'R DATA BNPL'!$E:$E,DAILY[[#This Row],[Date]],'R DATA BNPL'!$F:$F,'REKAP PERFORMANCE'!$X$6)</f>
        <v>0</v>
      </c>
      <c r="Z31" s="47">
        <f>SUMIFS('R DATA BNPL'!$G:$G,'R DATA BNPL'!$E:$E,B31,'R DATA BNPL'!$F:$F,'REKAP PERFORMANCE'!$Z$6)</f>
        <v>0</v>
      </c>
      <c r="AA31" s="47">
        <f>SUMIFS('R DATA BNPL'!$H:$H,'R DATA BNPL'!$E:$E,DAILY[[#This Row],[Date]],'R DATA BNPL'!$F:$F,'REKAP PERFORMANCE'!$Z$6)</f>
        <v>0</v>
      </c>
      <c r="AB31" s="48">
        <f t="shared" si="9"/>
        <v>0</v>
      </c>
      <c r="AC31" s="48">
        <f t="shared" si="10"/>
        <v>0</v>
      </c>
      <c r="AD31" s="51">
        <f>SUMIFS('R DATA BNPL'!$G:$G,'R DATA BNPL'!$E:$E,B31,'R DATA BNPL'!$F:$F,'REKAP PERFORMANCE'!$AD$6)</f>
        <v>0</v>
      </c>
      <c r="AE31" s="52">
        <f>SUMIFS('R DATA BNPL'!$H:$H,'R DATA BNPL'!$E:$E,DAILY[[#This Row],[Date]],'R DATA BNPL'!$F:$F,'REKAP PERFORMANCE'!$AD$6)</f>
        <v>0</v>
      </c>
      <c r="AF31" s="33"/>
      <c r="AG31" s="33"/>
      <c r="AH31">
        <f>SUMIFS('R DATA BNPL'!$G:$G,'R DATA BNPL'!$E:$E,B31,'R DATA BNPL'!$F:$F,'REKAP PERFORMANCE'!$AH$6)</f>
        <v>0</v>
      </c>
      <c r="AI31">
        <f>SUMIFS('R DATA BNPL'!$G:$G,'R DATA BNPL'!$E:$E,B31,'R DATA BNPL'!$F:$F,'REKAP PERFORMANCE'!$AI$6)</f>
        <v>0</v>
      </c>
      <c r="AJ31">
        <f>SUMIFS('R DATA BNPL'!$G:$G,'R DATA BNPL'!$E:$E,B31,'R DATA BNPL'!$F:$F,'REKAP PERFORMANCE'!$AJ$6)</f>
        <v>0</v>
      </c>
      <c r="AK31" s="64"/>
    </row>
    <row r="32" spans="1:50" ht="14.45">
      <c r="A32" s="2" t="str">
        <f t="shared" si="2"/>
        <v>Sabtu</v>
      </c>
      <c r="B32" s="4">
        <f t="shared" si="12"/>
        <v>46291</v>
      </c>
      <c r="C32"/>
      <c r="D32" s="45">
        <f>SUMIFS('R DATA BNPL'!$G:$G,'R DATA BNPL'!$E:$E,B32,'R DATA BNPL'!$F:$F,'REKAP PERFORMANCE'!$D$6)</f>
        <v>0</v>
      </c>
      <c r="E32" s="45">
        <f>SUMIFS('R DATA BNPL'!$H:$H,'R DATA BNPL'!$E:$E,DAILY[[#This Row],[Date]],'R DATA BNPL'!$F:$F,'REKAP PERFORMANCE'!$D$6)</f>
        <v>0</v>
      </c>
      <c r="F32" s="45">
        <f>SUMIFS('R DATA BNPL'!$G:$G,'R DATA BNPL'!$E:$E,B32,'R DATA BNPL'!$F:$F,'REKAP PERFORMANCE'!$F$6)</f>
        <v>0</v>
      </c>
      <c r="G32" s="45">
        <f>SUMIFS('R DATA BNPL'!$H:$H,'R DATA BNPL'!$E:$E,DAILY[[#This Row],[Date]],'R DATA BNPL'!$F:$F,'REKAP PERFORMANCE'!$F$6)</f>
        <v>0</v>
      </c>
      <c r="H32" s="45">
        <f>SUMIFS('R DATA BNPL'!$G:$G,'R DATA BNPL'!$E:$E,B32,'R DATA BNPL'!$F:$F,'REKAP PERFORMANCE'!$H$6)</f>
        <v>0</v>
      </c>
      <c r="I32" s="45">
        <f>SUMIFS('R DATA BNPL'!$H:$H,'R DATA BNPL'!$E:$E,DAILY[[#This Row],[Date]],'R DATA BNPL'!$F:$F,'REKAP PERFORMANCE'!$H$6)</f>
        <v>0</v>
      </c>
      <c r="J32" s="46">
        <f t="shared" si="3"/>
        <v>0</v>
      </c>
      <c r="K32" s="46">
        <f t="shared" si="4"/>
        <v>0</v>
      </c>
      <c r="L32" s="47">
        <f>SUMIFS('R DATA BNPL'!$G:$G,'R DATA BNPL'!$E:$E,B32,'R DATA BNPL'!$F:$F,'REKAP PERFORMANCE'!$L$6)</f>
        <v>0</v>
      </c>
      <c r="M32" s="47">
        <f>SUMIFS('R DATA BNPL'!$H:$H,'R DATA BNPL'!$E:$E,DAILY[[#This Row],[Date]],'R DATA BNPL'!$F:$F,'REKAP PERFORMANCE'!$L$6)</f>
        <v>0</v>
      </c>
      <c r="N32" s="47">
        <f>SUMIFS('R DATA BNPL'!$G:$G,'R DATA BNPL'!$E:$E,B32,'R DATA BNPL'!$F:$F,'REKAP PERFORMANCE'!$N$6)</f>
        <v>0</v>
      </c>
      <c r="O32" s="47">
        <f>SUMIFS('R DATA BNPL'!$H:$H,'R DATA BNPL'!$E:$E,DAILY[[#This Row],[Date]],'R DATA BNPL'!$F:$F,'REKAP PERFORMANCE'!$N$6)</f>
        <v>0</v>
      </c>
      <c r="P32" s="48">
        <f t="shared" si="5"/>
        <v>0</v>
      </c>
      <c r="Q32" s="48">
        <f t="shared" si="6"/>
        <v>0</v>
      </c>
      <c r="R32" s="49">
        <f>SUMIFS('R DATA BNPL'!$G:$G,'R DATA BNPL'!$E:$E,B32,'R DATA BNPL'!$F:$F,'REKAP PERFORMANCE'!$R$6)</f>
        <v>0</v>
      </c>
      <c r="S32" s="49">
        <f>SUMIFS('R DATA BNPL'!$H:$H,'R DATA BNPL'!$E:$E,DAILY[[#This Row],[Date]],'R DATA BNPL'!$F:$F,'REKAP PERFORMANCE'!$R$6)</f>
        <v>0</v>
      </c>
      <c r="T32" s="49">
        <f>SUMIFS('R DATA BNPL'!$G:$G,'R DATA BNPL'!$E:$E,B32,'R DATA BNPL'!$F:$F,'REKAP PERFORMANCE'!$T$6)</f>
        <v>0</v>
      </c>
      <c r="U32" s="49">
        <f>SUMIFS('R DATA BNPL'!$H:$H,'R DATA BNPL'!$E:$E,DAILY[[#This Row],[Date]],'R DATA BNPL'!$F:$F,'REKAP PERFORMANCE'!$T$6)</f>
        <v>0</v>
      </c>
      <c r="V32" s="50">
        <f t="shared" si="7"/>
        <v>0</v>
      </c>
      <c r="W32" s="50">
        <f t="shared" si="8"/>
        <v>0</v>
      </c>
      <c r="X32" s="47">
        <f>SUMIFS('R DATA BNPL'!$G:$G,'R DATA BNPL'!$E:$E,B32,'R DATA BNPL'!$F:$F,'REKAP PERFORMANCE'!$X$6)</f>
        <v>0</v>
      </c>
      <c r="Y32" s="47">
        <f>SUMIFS('R DATA BNPL'!$H:$H,'R DATA BNPL'!$E:$E,DAILY[[#This Row],[Date]],'R DATA BNPL'!$F:$F,'REKAP PERFORMANCE'!$X$6)</f>
        <v>0</v>
      </c>
      <c r="Z32" s="47">
        <f>SUMIFS('R DATA BNPL'!$G:$G,'R DATA BNPL'!$E:$E,B32,'R DATA BNPL'!$F:$F,'REKAP PERFORMANCE'!$Z$6)</f>
        <v>0</v>
      </c>
      <c r="AA32" s="47">
        <f>SUMIFS('R DATA BNPL'!$H:$H,'R DATA BNPL'!$E:$E,DAILY[[#This Row],[Date]],'R DATA BNPL'!$F:$F,'REKAP PERFORMANCE'!$Z$6)</f>
        <v>0</v>
      </c>
      <c r="AB32" s="48">
        <f t="shared" si="9"/>
        <v>0</v>
      </c>
      <c r="AC32" s="48">
        <f t="shared" si="10"/>
        <v>0</v>
      </c>
      <c r="AD32" s="51">
        <f>SUMIFS('R DATA BNPL'!$G:$G,'R DATA BNPL'!$E:$E,B32,'R DATA BNPL'!$F:$F,'REKAP PERFORMANCE'!$AD$6)</f>
        <v>0</v>
      </c>
      <c r="AE32" s="52">
        <f>SUMIFS('R DATA BNPL'!$H:$H,'R DATA BNPL'!$E:$E,DAILY[[#This Row],[Date]],'R DATA BNPL'!$F:$F,'REKAP PERFORMANCE'!$AD$6)</f>
        <v>0</v>
      </c>
      <c r="AF32" s="33"/>
      <c r="AG32" s="33"/>
      <c r="AH32">
        <f>SUMIFS('R DATA BNPL'!$G:$G,'R DATA BNPL'!$E:$E,B32,'R DATA BNPL'!$F:$F,'REKAP PERFORMANCE'!$AH$6)</f>
        <v>0</v>
      </c>
      <c r="AI32">
        <f>SUMIFS('R DATA BNPL'!$G:$G,'R DATA BNPL'!$E:$E,B32,'R DATA BNPL'!$F:$F,'REKAP PERFORMANCE'!$AI$6)</f>
        <v>0</v>
      </c>
      <c r="AJ32">
        <f>SUMIFS('R DATA BNPL'!$G:$G,'R DATA BNPL'!$E:$E,B32,'R DATA BNPL'!$F:$F,'REKAP PERFORMANCE'!$AJ$6)</f>
        <v>0</v>
      </c>
      <c r="AK32" s="64"/>
    </row>
    <row r="33" spans="1:37" ht="14.45">
      <c r="A33" s="2" t="str">
        <f t="shared" si="2"/>
        <v>Minggu</v>
      </c>
      <c r="B33" s="4">
        <f t="shared" si="12"/>
        <v>46292</v>
      </c>
      <c r="C33"/>
      <c r="D33" s="45">
        <f>SUMIFS('R DATA BNPL'!$G:$G,'R DATA BNPL'!$E:$E,B33,'R DATA BNPL'!$F:$F,'REKAP PERFORMANCE'!$D$6)</f>
        <v>0</v>
      </c>
      <c r="E33" s="45">
        <f>SUMIFS('R DATA BNPL'!$H:$H,'R DATA BNPL'!$E:$E,DAILY[[#This Row],[Date]],'R DATA BNPL'!$F:$F,'REKAP PERFORMANCE'!$D$6)</f>
        <v>0</v>
      </c>
      <c r="F33" s="45">
        <f>SUMIFS('R DATA BNPL'!$G:$G,'R DATA BNPL'!$E:$E,B33,'R DATA BNPL'!$F:$F,'REKAP PERFORMANCE'!$F$6)</f>
        <v>0</v>
      </c>
      <c r="G33" s="45">
        <f>SUMIFS('R DATA BNPL'!$H:$H,'R DATA BNPL'!$E:$E,DAILY[[#This Row],[Date]],'R DATA BNPL'!$F:$F,'REKAP PERFORMANCE'!$F$6)</f>
        <v>0</v>
      </c>
      <c r="H33" s="45">
        <f>SUMIFS('R DATA BNPL'!$G:$G,'R DATA BNPL'!$E:$E,B33,'R DATA BNPL'!$F:$F,'REKAP PERFORMANCE'!$H$6)</f>
        <v>0</v>
      </c>
      <c r="I33" s="45">
        <f>SUMIFS('R DATA BNPL'!$H:$H,'R DATA BNPL'!$E:$E,DAILY[[#This Row],[Date]],'R DATA BNPL'!$F:$F,'REKAP PERFORMANCE'!$H$6)</f>
        <v>0</v>
      </c>
      <c r="J33" s="46">
        <f t="shared" si="3"/>
        <v>0</v>
      </c>
      <c r="K33" s="46">
        <f t="shared" si="4"/>
        <v>0</v>
      </c>
      <c r="L33" s="47">
        <f>SUMIFS('R DATA BNPL'!$G:$G,'R DATA BNPL'!$E:$E,B33,'R DATA BNPL'!$F:$F,'REKAP PERFORMANCE'!$L$6)</f>
        <v>0</v>
      </c>
      <c r="M33" s="47">
        <f>SUMIFS('R DATA BNPL'!$H:$H,'R DATA BNPL'!$E:$E,DAILY[[#This Row],[Date]],'R DATA BNPL'!$F:$F,'REKAP PERFORMANCE'!$L$6)</f>
        <v>0</v>
      </c>
      <c r="N33" s="47">
        <f>SUMIFS('R DATA BNPL'!$G:$G,'R DATA BNPL'!$E:$E,B33,'R DATA BNPL'!$F:$F,'REKAP PERFORMANCE'!$N$6)</f>
        <v>0</v>
      </c>
      <c r="O33" s="47">
        <f>SUMIFS('R DATA BNPL'!$H:$H,'R DATA BNPL'!$E:$E,DAILY[[#This Row],[Date]],'R DATA BNPL'!$F:$F,'REKAP PERFORMANCE'!$N$6)</f>
        <v>0</v>
      </c>
      <c r="P33" s="48">
        <f t="shared" si="5"/>
        <v>0</v>
      </c>
      <c r="Q33" s="48">
        <f t="shared" si="6"/>
        <v>0</v>
      </c>
      <c r="R33" s="49">
        <f>SUMIFS('R DATA BNPL'!$G:$G,'R DATA BNPL'!$E:$E,B33,'R DATA BNPL'!$F:$F,'REKAP PERFORMANCE'!$R$6)</f>
        <v>0</v>
      </c>
      <c r="S33" s="49">
        <f>SUMIFS('R DATA BNPL'!$H:$H,'R DATA BNPL'!$E:$E,DAILY[[#This Row],[Date]],'R DATA BNPL'!$F:$F,'REKAP PERFORMANCE'!$R$6)</f>
        <v>0</v>
      </c>
      <c r="T33" s="49">
        <f>SUMIFS('R DATA BNPL'!$G:$G,'R DATA BNPL'!$E:$E,B33,'R DATA BNPL'!$F:$F,'REKAP PERFORMANCE'!$T$6)</f>
        <v>0</v>
      </c>
      <c r="U33" s="49">
        <f>SUMIFS('R DATA BNPL'!$H:$H,'R DATA BNPL'!$E:$E,DAILY[[#This Row],[Date]],'R DATA BNPL'!$F:$F,'REKAP PERFORMANCE'!$T$6)</f>
        <v>0</v>
      </c>
      <c r="V33" s="50">
        <f t="shared" si="7"/>
        <v>0</v>
      </c>
      <c r="W33" s="50">
        <f t="shared" si="8"/>
        <v>0</v>
      </c>
      <c r="X33" s="47">
        <f>SUMIFS('R DATA BNPL'!$G:$G,'R DATA BNPL'!$E:$E,B33,'R DATA BNPL'!$F:$F,'REKAP PERFORMANCE'!$X$6)</f>
        <v>0</v>
      </c>
      <c r="Y33" s="47">
        <f>SUMIFS('R DATA BNPL'!$H:$H,'R DATA BNPL'!$E:$E,DAILY[[#This Row],[Date]],'R DATA BNPL'!$F:$F,'REKAP PERFORMANCE'!$X$6)</f>
        <v>0</v>
      </c>
      <c r="Z33" s="47">
        <f>SUMIFS('R DATA BNPL'!$G:$G,'R DATA BNPL'!$E:$E,B33,'R DATA BNPL'!$F:$F,'REKAP PERFORMANCE'!$Z$6)</f>
        <v>0</v>
      </c>
      <c r="AA33" s="47">
        <f>SUMIFS('R DATA BNPL'!$H:$H,'R DATA BNPL'!$E:$E,DAILY[[#This Row],[Date]],'R DATA BNPL'!$F:$F,'REKAP PERFORMANCE'!$Z$6)</f>
        <v>0</v>
      </c>
      <c r="AB33" s="48">
        <f t="shared" si="9"/>
        <v>0</v>
      </c>
      <c r="AC33" s="48">
        <f t="shared" si="10"/>
        <v>0</v>
      </c>
      <c r="AD33" s="51">
        <f>SUMIFS('R DATA BNPL'!$G:$G,'R DATA BNPL'!$E:$E,B33,'R DATA BNPL'!$F:$F,'REKAP PERFORMANCE'!$AD$6)</f>
        <v>0</v>
      </c>
      <c r="AE33" s="52">
        <f>SUMIFS('R DATA BNPL'!$H:$H,'R DATA BNPL'!$E:$E,DAILY[[#This Row],[Date]],'R DATA BNPL'!$F:$F,'REKAP PERFORMANCE'!$AD$6)</f>
        <v>0</v>
      </c>
      <c r="AF33" s="33"/>
      <c r="AG33" s="33"/>
      <c r="AH33">
        <f>SUMIFS('R DATA BNPL'!$G:$G,'R DATA BNPL'!$E:$E,B33,'R DATA BNPL'!$F:$F,'REKAP PERFORMANCE'!$AH$6)</f>
        <v>0</v>
      </c>
      <c r="AI33">
        <f>SUMIFS('R DATA BNPL'!$G:$G,'R DATA BNPL'!$E:$E,B33,'R DATA BNPL'!$F:$F,'REKAP PERFORMANCE'!$AI$6)</f>
        <v>0</v>
      </c>
      <c r="AJ33">
        <f>SUMIFS('R DATA BNPL'!$G:$G,'R DATA BNPL'!$E:$E,B33,'R DATA BNPL'!$F:$F,'REKAP PERFORMANCE'!$AJ$6)</f>
        <v>0</v>
      </c>
      <c r="AK33" s="64"/>
    </row>
    <row r="34" spans="1:37" ht="14.45">
      <c r="A34" s="2" t="str">
        <f t="shared" si="2"/>
        <v>Senin</v>
      </c>
      <c r="B34" s="4">
        <f t="shared" si="12"/>
        <v>46293</v>
      </c>
      <c r="C34"/>
      <c r="D34" s="45">
        <f>SUMIFS('R DATA BNPL'!$G:$G,'R DATA BNPL'!$E:$E,B34,'R DATA BNPL'!$F:$F,'REKAP PERFORMANCE'!$D$6)</f>
        <v>0</v>
      </c>
      <c r="E34" s="45">
        <f>SUMIFS('R DATA BNPL'!$H:$H,'R DATA BNPL'!$E:$E,DAILY[[#This Row],[Date]],'R DATA BNPL'!$F:$F,'REKAP PERFORMANCE'!$D$6)</f>
        <v>0</v>
      </c>
      <c r="F34" s="45">
        <f>SUMIFS('R DATA BNPL'!$G:$G,'R DATA BNPL'!$E:$E,B34,'R DATA BNPL'!$F:$F,'REKAP PERFORMANCE'!$F$6)</f>
        <v>0</v>
      </c>
      <c r="G34" s="45">
        <f>SUMIFS('R DATA BNPL'!$H:$H,'R DATA BNPL'!$E:$E,DAILY[[#This Row],[Date]],'R DATA BNPL'!$F:$F,'REKAP PERFORMANCE'!$F$6)</f>
        <v>0</v>
      </c>
      <c r="H34" s="45">
        <f>SUMIFS('R DATA BNPL'!$G:$G,'R DATA BNPL'!$E:$E,B34,'R DATA BNPL'!$F:$F,'REKAP PERFORMANCE'!$H$6)</f>
        <v>0</v>
      </c>
      <c r="I34" s="45">
        <f>SUMIFS('R DATA BNPL'!$H:$H,'R DATA BNPL'!$E:$E,DAILY[[#This Row],[Date]],'R DATA BNPL'!$F:$F,'REKAP PERFORMANCE'!$H$6)</f>
        <v>0</v>
      </c>
      <c r="J34" s="46">
        <f t="shared" si="3"/>
        <v>0</v>
      </c>
      <c r="K34" s="46">
        <f t="shared" si="4"/>
        <v>0</v>
      </c>
      <c r="L34" s="47">
        <f>SUMIFS('R DATA BNPL'!$G:$G,'R DATA BNPL'!$E:$E,B34,'R DATA BNPL'!$F:$F,'REKAP PERFORMANCE'!$L$6)</f>
        <v>0</v>
      </c>
      <c r="M34" s="47">
        <f>SUMIFS('R DATA BNPL'!$H:$H,'R DATA BNPL'!$E:$E,DAILY[[#This Row],[Date]],'R DATA BNPL'!$F:$F,'REKAP PERFORMANCE'!$L$6)</f>
        <v>0</v>
      </c>
      <c r="N34" s="47">
        <f>SUMIFS('R DATA BNPL'!$G:$G,'R DATA BNPL'!$E:$E,B34,'R DATA BNPL'!$F:$F,'REKAP PERFORMANCE'!$N$6)</f>
        <v>0</v>
      </c>
      <c r="O34" s="47">
        <f>SUMIFS('R DATA BNPL'!$H:$H,'R DATA BNPL'!$E:$E,DAILY[[#This Row],[Date]],'R DATA BNPL'!$F:$F,'REKAP PERFORMANCE'!$N$6)</f>
        <v>0</v>
      </c>
      <c r="P34" s="48">
        <f t="shared" si="5"/>
        <v>0</v>
      </c>
      <c r="Q34" s="48">
        <f t="shared" si="6"/>
        <v>0</v>
      </c>
      <c r="R34" s="49">
        <f>SUMIFS('R DATA BNPL'!$G:$G,'R DATA BNPL'!$E:$E,B34,'R DATA BNPL'!$F:$F,'REKAP PERFORMANCE'!$R$6)</f>
        <v>0</v>
      </c>
      <c r="S34" s="49">
        <f>SUMIFS('R DATA BNPL'!$H:$H,'R DATA BNPL'!$E:$E,DAILY[[#This Row],[Date]],'R DATA BNPL'!$F:$F,'REKAP PERFORMANCE'!$R$6)</f>
        <v>0</v>
      </c>
      <c r="T34" s="49">
        <f>SUMIFS('R DATA BNPL'!$G:$G,'R DATA BNPL'!$E:$E,B34,'R DATA BNPL'!$F:$F,'REKAP PERFORMANCE'!$T$6)</f>
        <v>0</v>
      </c>
      <c r="U34" s="49">
        <f>SUMIFS('R DATA BNPL'!$H:$H,'R DATA BNPL'!$E:$E,DAILY[[#This Row],[Date]],'R DATA BNPL'!$F:$F,'REKAP PERFORMANCE'!$T$6)</f>
        <v>0</v>
      </c>
      <c r="V34" s="50">
        <f t="shared" si="7"/>
        <v>0</v>
      </c>
      <c r="W34" s="50">
        <f t="shared" si="8"/>
        <v>0</v>
      </c>
      <c r="X34" s="47">
        <f>SUMIFS('R DATA BNPL'!$G:$G,'R DATA BNPL'!$E:$E,B34,'R DATA BNPL'!$F:$F,'REKAP PERFORMANCE'!$X$6)</f>
        <v>0</v>
      </c>
      <c r="Y34" s="47">
        <f>SUMIFS('R DATA BNPL'!$H:$H,'R DATA BNPL'!$E:$E,DAILY[[#This Row],[Date]],'R DATA BNPL'!$F:$F,'REKAP PERFORMANCE'!$X$6)</f>
        <v>0</v>
      </c>
      <c r="Z34" s="47">
        <f>SUMIFS('R DATA BNPL'!$G:$G,'R DATA BNPL'!$E:$E,B34,'R DATA BNPL'!$F:$F,'REKAP PERFORMANCE'!$Z$6)</f>
        <v>0</v>
      </c>
      <c r="AA34" s="47">
        <f>SUMIFS('R DATA BNPL'!$H:$H,'R DATA BNPL'!$E:$E,DAILY[[#This Row],[Date]],'R DATA BNPL'!$F:$F,'REKAP PERFORMANCE'!$Z$6)</f>
        <v>0</v>
      </c>
      <c r="AB34" s="48">
        <f t="shared" si="9"/>
        <v>0</v>
      </c>
      <c r="AC34" s="48">
        <f t="shared" si="10"/>
        <v>0</v>
      </c>
      <c r="AD34" s="51">
        <f>SUMIFS('R DATA BNPL'!$G:$G,'R DATA BNPL'!$E:$E,B34,'R DATA BNPL'!$F:$F,'REKAP PERFORMANCE'!$AD$6)</f>
        <v>0</v>
      </c>
      <c r="AE34" s="52">
        <f>SUMIFS('R DATA BNPL'!$H:$H,'R DATA BNPL'!$E:$E,DAILY[[#This Row],[Date]],'R DATA BNPL'!$F:$F,'REKAP PERFORMANCE'!$AD$6)</f>
        <v>0</v>
      </c>
      <c r="AF34" s="33"/>
      <c r="AG34" s="33"/>
      <c r="AH34">
        <f>SUMIFS('R DATA BNPL'!$G:$G,'R DATA BNPL'!$E:$E,B34,'R DATA BNPL'!$F:$F,'REKAP PERFORMANCE'!$AH$6)</f>
        <v>0</v>
      </c>
      <c r="AI34">
        <f>SUMIFS('R DATA BNPL'!$G:$G,'R DATA BNPL'!$E:$E,B34,'R DATA BNPL'!$F:$F,'REKAP PERFORMANCE'!$AI$6)</f>
        <v>0</v>
      </c>
      <c r="AJ34">
        <f>SUMIFS('R DATA BNPL'!$G:$G,'R DATA BNPL'!$E:$E,B34,'R DATA BNPL'!$F:$F,'REKAP PERFORMANCE'!$AJ$6)</f>
        <v>0</v>
      </c>
      <c r="AK34" s="64"/>
    </row>
    <row r="35" spans="1:37" ht="14.45">
      <c r="A35" s="2" t="str">
        <f t="shared" si="2"/>
        <v>Selasa</v>
      </c>
      <c r="B35" s="4">
        <f t="shared" si="12"/>
        <v>46294</v>
      </c>
      <c r="C35"/>
      <c r="D35" s="45">
        <f>SUMIFS('R DATA BNPL'!$G:$G,'R DATA BNPL'!$E:$E,B35,'R DATA BNPL'!$F:$F,'REKAP PERFORMANCE'!$D$6)</f>
        <v>0</v>
      </c>
      <c r="E35" s="45">
        <f>SUMIFS('R DATA BNPL'!$H:$H,'R DATA BNPL'!$E:$E,DAILY[[#This Row],[Date]],'R DATA BNPL'!$F:$F,'REKAP PERFORMANCE'!$D$6)</f>
        <v>0</v>
      </c>
      <c r="F35" s="45">
        <f>SUMIFS('R DATA BNPL'!$G:$G,'R DATA BNPL'!$E:$E,B35,'R DATA BNPL'!$F:$F,'REKAP PERFORMANCE'!$F$6)</f>
        <v>0</v>
      </c>
      <c r="G35" s="45">
        <f>SUMIFS('R DATA BNPL'!$H:$H,'R DATA BNPL'!$E:$E,DAILY[[#This Row],[Date]],'R DATA BNPL'!$F:$F,'REKAP PERFORMANCE'!$F$6)</f>
        <v>0</v>
      </c>
      <c r="H35" s="45">
        <f>SUMIFS('R DATA BNPL'!$G:$G,'R DATA BNPL'!$E:$E,B35,'R DATA BNPL'!$F:$F,'REKAP PERFORMANCE'!$H$6)</f>
        <v>0</v>
      </c>
      <c r="I35" s="45">
        <f>SUMIFS('R DATA BNPL'!$H:$H,'R DATA BNPL'!$E:$E,DAILY[[#This Row],[Date]],'R DATA BNPL'!$F:$F,'REKAP PERFORMANCE'!$H$6)</f>
        <v>0</v>
      </c>
      <c r="J35" s="46">
        <f t="shared" si="3"/>
        <v>0</v>
      </c>
      <c r="K35" s="46">
        <f t="shared" si="4"/>
        <v>0</v>
      </c>
      <c r="L35" s="47">
        <f>SUMIFS('R DATA BNPL'!$G:$G,'R DATA BNPL'!$E:$E,B35,'R DATA BNPL'!$F:$F,'REKAP PERFORMANCE'!$L$6)</f>
        <v>0</v>
      </c>
      <c r="M35" s="47">
        <f>SUMIFS('R DATA BNPL'!$H:$H,'R DATA BNPL'!$E:$E,DAILY[[#This Row],[Date]],'R DATA BNPL'!$F:$F,'REKAP PERFORMANCE'!$L$6)</f>
        <v>0</v>
      </c>
      <c r="N35" s="47">
        <f>SUMIFS('R DATA BNPL'!$G:$G,'R DATA BNPL'!$E:$E,B35,'R DATA BNPL'!$F:$F,'REKAP PERFORMANCE'!$N$6)</f>
        <v>0</v>
      </c>
      <c r="O35" s="47">
        <f>SUMIFS('R DATA BNPL'!$H:$H,'R DATA BNPL'!$E:$E,DAILY[[#This Row],[Date]],'R DATA BNPL'!$F:$F,'REKAP PERFORMANCE'!$N$6)</f>
        <v>0</v>
      </c>
      <c r="P35" s="48">
        <f t="shared" si="5"/>
        <v>0</v>
      </c>
      <c r="Q35" s="48">
        <f t="shared" si="6"/>
        <v>0</v>
      </c>
      <c r="R35" s="49">
        <f>SUMIFS('R DATA BNPL'!$G:$G,'R DATA BNPL'!$E:$E,B35,'R DATA BNPL'!$F:$F,'REKAP PERFORMANCE'!$R$6)</f>
        <v>0</v>
      </c>
      <c r="S35" s="49">
        <f>SUMIFS('R DATA BNPL'!$H:$H,'R DATA BNPL'!$E:$E,DAILY[[#This Row],[Date]],'R DATA BNPL'!$F:$F,'REKAP PERFORMANCE'!$R$6)</f>
        <v>0</v>
      </c>
      <c r="T35" s="49">
        <f>SUMIFS('R DATA BNPL'!$G:$G,'R DATA BNPL'!$E:$E,B35,'R DATA BNPL'!$F:$F,'REKAP PERFORMANCE'!$T$6)</f>
        <v>0</v>
      </c>
      <c r="U35" s="49">
        <f>SUMIFS('R DATA BNPL'!$H:$H,'R DATA BNPL'!$E:$E,DAILY[[#This Row],[Date]],'R DATA BNPL'!$F:$F,'REKAP PERFORMANCE'!$T$6)</f>
        <v>0</v>
      </c>
      <c r="V35" s="50">
        <f t="shared" si="7"/>
        <v>0</v>
      </c>
      <c r="W35" s="50">
        <f t="shared" si="8"/>
        <v>0</v>
      </c>
      <c r="X35" s="47">
        <f>SUMIFS('R DATA BNPL'!$G:$G,'R DATA BNPL'!$E:$E,B35,'R DATA BNPL'!$F:$F,'REKAP PERFORMANCE'!$X$6)</f>
        <v>0</v>
      </c>
      <c r="Y35" s="47">
        <f>SUMIFS('R DATA BNPL'!$H:$H,'R DATA BNPL'!$E:$E,DAILY[[#This Row],[Date]],'R DATA BNPL'!$F:$F,'REKAP PERFORMANCE'!$X$6)</f>
        <v>0</v>
      </c>
      <c r="Z35" s="47">
        <f>SUMIFS('R DATA BNPL'!$G:$G,'R DATA BNPL'!$E:$E,B35,'R DATA BNPL'!$F:$F,'REKAP PERFORMANCE'!$Z$6)</f>
        <v>0</v>
      </c>
      <c r="AA35" s="47">
        <f>SUMIFS('R DATA BNPL'!$H:$H,'R DATA BNPL'!$E:$E,DAILY[[#This Row],[Date]],'R DATA BNPL'!$F:$F,'REKAP PERFORMANCE'!$Z$6)</f>
        <v>0</v>
      </c>
      <c r="AB35" s="48">
        <f t="shared" si="9"/>
        <v>0</v>
      </c>
      <c r="AC35" s="48">
        <f t="shared" si="10"/>
        <v>0</v>
      </c>
      <c r="AD35" s="51">
        <f>SUMIFS('R DATA BNPL'!$G:$G,'R DATA BNPL'!$E:$E,B35,'R DATA BNPL'!$F:$F,'REKAP PERFORMANCE'!$AD$6)</f>
        <v>0</v>
      </c>
      <c r="AE35" s="52">
        <f>SUMIFS('R DATA BNPL'!$H:$H,'R DATA BNPL'!$E:$E,DAILY[[#This Row],[Date]],'R DATA BNPL'!$F:$F,'REKAP PERFORMANCE'!$AD$6)</f>
        <v>0</v>
      </c>
      <c r="AF35" s="33"/>
      <c r="AG35" s="33"/>
      <c r="AH35">
        <f>SUMIFS('R DATA BNPL'!$G:$G,'R DATA BNPL'!$E:$E,B35,'R DATA BNPL'!$F:$F,'REKAP PERFORMANCE'!$AH$6)</f>
        <v>0</v>
      </c>
      <c r="AI35">
        <f>SUMIFS('R DATA BNPL'!$G:$G,'R DATA BNPL'!$E:$E,B35,'R DATA BNPL'!$F:$F,'REKAP PERFORMANCE'!$AI$6)</f>
        <v>0</v>
      </c>
      <c r="AJ35">
        <f>SUMIFS('R DATA BNPL'!$G:$G,'R DATA BNPL'!$E:$E,B35,'R DATA BNPL'!$F:$F,'REKAP PERFORMANCE'!$AJ$6)</f>
        <v>0</v>
      </c>
      <c r="AK35" s="64"/>
    </row>
    <row r="36" spans="1:37" ht="14.45">
      <c r="A36" s="2" t="str">
        <f t="shared" si="2"/>
        <v>Rabu</v>
      </c>
      <c r="B36" s="4">
        <f t="shared" si="12"/>
        <v>46295</v>
      </c>
      <c r="C36"/>
      <c r="D36" s="45">
        <f>SUMIFS('R DATA BNPL'!$G:$G,'R DATA BNPL'!$E:$E,B36,'R DATA BNPL'!$F:$F,'REKAP PERFORMANCE'!$D$6)</f>
        <v>0</v>
      </c>
      <c r="E36" s="45">
        <f>SUMIFS('R DATA BNPL'!$H:$H,'R DATA BNPL'!$E:$E,DAILY[[#This Row],[Date]],'R DATA BNPL'!$F:$F,'REKAP PERFORMANCE'!$D$6)</f>
        <v>0</v>
      </c>
      <c r="F36" s="45">
        <f>SUMIFS('R DATA BNPL'!$G:$G,'R DATA BNPL'!$E:$E,B36,'R DATA BNPL'!$F:$F,'REKAP PERFORMANCE'!$F$6)</f>
        <v>0</v>
      </c>
      <c r="G36" s="45">
        <f>SUMIFS('R DATA BNPL'!$H:$H,'R DATA BNPL'!$E:$E,DAILY[[#This Row],[Date]],'R DATA BNPL'!$F:$F,'REKAP PERFORMANCE'!$F$6)</f>
        <v>0</v>
      </c>
      <c r="H36" s="45">
        <f>SUMIFS('R DATA BNPL'!$G:$G,'R DATA BNPL'!$E:$E,B36,'R DATA BNPL'!$F:$F,'REKAP PERFORMANCE'!$H$6)</f>
        <v>0</v>
      </c>
      <c r="I36" s="45">
        <f>SUMIFS('R DATA BNPL'!$H:$H,'R DATA BNPL'!$E:$E,DAILY[[#This Row],[Date]],'R DATA BNPL'!$F:$F,'REKAP PERFORMANCE'!$H$6)</f>
        <v>0</v>
      </c>
      <c r="J36" s="46">
        <f t="shared" si="3"/>
        <v>0</v>
      </c>
      <c r="K36" s="46">
        <f t="shared" si="4"/>
        <v>0</v>
      </c>
      <c r="L36" s="47">
        <f>SUMIFS('R DATA BNPL'!$G:$G,'R DATA BNPL'!$E:$E,B36,'R DATA BNPL'!$F:$F,'REKAP PERFORMANCE'!$L$6)</f>
        <v>0</v>
      </c>
      <c r="M36" s="47">
        <f>SUMIFS('R DATA BNPL'!$H:$H,'R DATA BNPL'!$E:$E,DAILY[[#This Row],[Date]],'R DATA BNPL'!$F:$F,'REKAP PERFORMANCE'!$L$6)</f>
        <v>0</v>
      </c>
      <c r="N36" s="47">
        <f>SUMIFS('R DATA BNPL'!$G:$G,'R DATA BNPL'!$E:$E,B36,'R DATA BNPL'!$F:$F,'REKAP PERFORMANCE'!$N$6)</f>
        <v>0</v>
      </c>
      <c r="O36" s="47">
        <f>SUMIFS('R DATA BNPL'!$H:$H,'R DATA BNPL'!$E:$E,DAILY[[#This Row],[Date]],'R DATA BNPL'!$F:$F,'REKAP PERFORMANCE'!$N$6)</f>
        <v>0</v>
      </c>
      <c r="P36" s="48">
        <f t="shared" si="5"/>
        <v>0</v>
      </c>
      <c r="Q36" s="48">
        <f t="shared" si="6"/>
        <v>0</v>
      </c>
      <c r="R36" s="49">
        <f>SUMIFS('R DATA BNPL'!$G:$G,'R DATA BNPL'!$E:$E,B36,'R DATA BNPL'!$F:$F,'REKAP PERFORMANCE'!$R$6)</f>
        <v>0</v>
      </c>
      <c r="S36" s="49">
        <f>SUMIFS('R DATA BNPL'!$H:$H,'R DATA BNPL'!$E:$E,DAILY[[#This Row],[Date]],'R DATA BNPL'!$F:$F,'REKAP PERFORMANCE'!$R$6)</f>
        <v>0</v>
      </c>
      <c r="T36" s="49">
        <f>SUMIFS('R DATA BNPL'!$G:$G,'R DATA BNPL'!$E:$E,B36,'R DATA BNPL'!$F:$F,'REKAP PERFORMANCE'!$T$6)</f>
        <v>0</v>
      </c>
      <c r="U36" s="49">
        <f>SUMIFS('R DATA BNPL'!$H:$H,'R DATA BNPL'!$E:$E,DAILY[[#This Row],[Date]],'R DATA BNPL'!$F:$F,'REKAP PERFORMANCE'!$T$6)</f>
        <v>0</v>
      </c>
      <c r="V36" s="50">
        <f t="shared" si="7"/>
        <v>0</v>
      </c>
      <c r="W36" s="50">
        <f t="shared" si="8"/>
        <v>0</v>
      </c>
      <c r="X36" s="47">
        <f>SUMIFS('R DATA BNPL'!$G:$G,'R DATA BNPL'!$E:$E,B36,'R DATA BNPL'!$F:$F,'REKAP PERFORMANCE'!$X$6)</f>
        <v>0</v>
      </c>
      <c r="Y36" s="47">
        <f>SUMIFS('R DATA BNPL'!$H:$H,'R DATA BNPL'!$E:$E,DAILY[[#This Row],[Date]],'R DATA BNPL'!$F:$F,'REKAP PERFORMANCE'!$X$6)</f>
        <v>0</v>
      </c>
      <c r="Z36" s="47">
        <f>SUMIFS('R DATA BNPL'!$G:$G,'R DATA BNPL'!$E:$E,B36,'R DATA BNPL'!$F:$F,'REKAP PERFORMANCE'!$Z$6)</f>
        <v>0</v>
      </c>
      <c r="AA36" s="47">
        <f>SUMIFS('R DATA BNPL'!$H:$H,'R DATA BNPL'!$E:$E,DAILY[[#This Row],[Date]],'R DATA BNPL'!$F:$F,'REKAP PERFORMANCE'!$Z$6)</f>
        <v>0</v>
      </c>
      <c r="AB36" s="48">
        <f t="shared" si="9"/>
        <v>0</v>
      </c>
      <c r="AC36" s="48">
        <f t="shared" si="10"/>
        <v>0</v>
      </c>
      <c r="AD36" s="51">
        <f>SUMIFS('R DATA BNPL'!$G:$G,'R DATA BNPL'!$E:$E,B36,'R DATA BNPL'!$F:$F,'REKAP PERFORMANCE'!$AD$6)</f>
        <v>0</v>
      </c>
      <c r="AE36" s="52">
        <f>SUMIFS('R DATA BNPL'!$H:$H,'R DATA BNPL'!$E:$E,DAILY[[#This Row],[Date]],'R DATA BNPL'!$F:$F,'REKAP PERFORMANCE'!$AD$6)</f>
        <v>0</v>
      </c>
      <c r="AF36" s="33"/>
      <c r="AG36" s="33"/>
      <c r="AH36">
        <f>SUMIFS('R DATA BNPL'!$G:$G,'R DATA BNPL'!$E:$E,B36,'R DATA BNPL'!$F:$F,'REKAP PERFORMANCE'!$AH$6)</f>
        <v>0</v>
      </c>
      <c r="AI36">
        <f>SUMIFS('R DATA BNPL'!$G:$G,'R DATA BNPL'!$E:$E,B36,'R DATA BNPL'!$F:$F,'REKAP PERFORMANCE'!$AI$6)</f>
        <v>0</v>
      </c>
      <c r="AJ36">
        <f>SUMIFS('R DATA BNPL'!$G:$G,'R DATA BNPL'!$E:$E,B36,'R DATA BNPL'!$F:$F,'REKAP PERFORMANCE'!$AJ$6)</f>
        <v>0</v>
      </c>
      <c r="AK36" s="64"/>
    </row>
    <row r="37" spans="1:37" ht="14.45">
      <c r="A37" s="2" t="str">
        <f t="shared" si="2"/>
        <v>FALSE</v>
      </c>
      <c r="B37" s="4" t="b">
        <f t="shared" si="12"/>
        <v>0</v>
      </c>
      <c r="C37"/>
      <c r="D37" s="45">
        <f>SUMIFS('R DATA BNPL'!$G:$G,'R DATA BNPL'!$E:$E,B37,'R DATA BNPL'!$F:$F,'REKAP PERFORMANCE'!$D$6)</f>
        <v>0</v>
      </c>
      <c r="E37" s="45">
        <f>SUMIFS('R DATA BNPL'!$H:$H,'R DATA BNPL'!$E:$E,DAILY[[#This Row],[Date]],'R DATA BNPL'!$F:$F,'REKAP PERFORMANCE'!$D$6)</f>
        <v>0</v>
      </c>
      <c r="F37" s="45">
        <f>SUMIFS('R DATA BNPL'!$G:$G,'R DATA BNPL'!$E:$E,B37,'R DATA BNPL'!$F:$F,'REKAP PERFORMANCE'!$F$6)</f>
        <v>0</v>
      </c>
      <c r="G37" s="45">
        <f>SUMIFS('R DATA BNPL'!$H:$H,'R DATA BNPL'!$E:$E,DAILY[[#This Row],[Date]],'R DATA BNPL'!$F:$F,'REKAP PERFORMANCE'!$F$6)</f>
        <v>0</v>
      </c>
      <c r="H37" s="45">
        <f>SUMIFS('R DATA BNPL'!$G:$G,'R DATA BNPL'!$E:$E,B37,'R DATA BNPL'!$F:$F,'REKAP PERFORMANCE'!$H$6)</f>
        <v>0</v>
      </c>
      <c r="I37" s="45">
        <f>SUMIFS('R DATA BNPL'!$H:$H,'R DATA BNPL'!$E:$E,DAILY[[#This Row],[Date]],'R DATA BNPL'!$F:$F,'REKAP PERFORMANCE'!$H$6)</f>
        <v>0</v>
      </c>
      <c r="J37" s="46">
        <f t="shared" si="3"/>
        <v>0</v>
      </c>
      <c r="K37" s="46">
        <f t="shared" si="4"/>
        <v>0</v>
      </c>
      <c r="L37" s="47">
        <f>SUMIFS('R DATA BNPL'!$G:$G,'R DATA BNPL'!$E:$E,B37,'R DATA BNPL'!$F:$F,'REKAP PERFORMANCE'!$L$6)</f>
        <v>0</v>
      </c>
      <c r="M37" s="47">
        <f>SUMIFS('R DATA BNPL'!$H:$H,'R DATA BNPL'!$E:$E,DAILY[[#This Row],[Date]],'R DATA BNPL'!$F:$F,'REKAP PERFORMANCE'!$L$6)</f>
        <v>0</v>
      </c>
      <c r="N37" s="47">
        <f>SUMIFS('R DATA BNPL'!$G:$G,'R DATA BNPL'!$E:$E,B37,'R DATA BNPL'!$F:$F,'REKAP PERFORMANCE'!$N$6)</f>
        <v>0</v>
      </c>
      <c r="O37" s="47">
        <f>SUMIFS('R DATA BNPL'!$H:$H,'R DATA BNPL'!$E:$E,DAILY[[#This Row],[Date]],'R DATA BNPL'!$F:$F,'REKAP PERFORMANCE'!$N$6)</f>
        <v>0</v>
      </c>
      <c r="P37" s="48">
        <f t="shared" si="5"/>
        <v>0</v>
      </c>
      <c r="Q37" s="48">
        <f t="shared" si="6"/>
        <v>0</v>
      </c>
      <c r="R37" s="49">
        <f>SUMIFS('R DATA BNPL'!$G:$G,'R DATA BNPL'!$E:$E,B37,'R DATA BNPL'!$F:$F,'REKAP PERFORMANCE'!$R$6)</f>
        <v>0</v>
      </c>
      <c r="S37" s="49">
        <f>SUMIFS('R DATA BNPL'!$H:$H,'R DATA BNPL'!$E:$E,DAILY[[#This Row],[Date]],'R DATA BNPL'!$F:$F,'REKAP PERFORMANCE'!$R$6)</f>
        <v>0</v>
      </c>
      <c r="T37" s="49">
        <f>SUMIFS('R DATA BNPL'!$G:$G,'R DATA BNPL'!$E:$E,B37,'R DATA BNPL'!$F:$F,'REKAP PERFORMANCE'!$T$6)</f>
        <v>0</v>
      </c>
      <c r="U37" s="49">
        <f>SUMIFS('R DATA BNPL'!$H:$H,'R DATA BNPL'!$E:$E,DAILY[[#This Row],[Date]],'R DATA BNPL'!$F:$F,'REKAP PERFORMANCE'!$T$6)</f>
        <v>0</v>
      </c>
      <c r="V37" s="50">
        <f t="shared" si="7"/>
        <v>0</v>
      </c>
      <c r="W37" s="50">
        <f t="shared" si="8"/>
        <v>0</v>
      </c>
      <c r="X37" s="47">
        <f>SUMIFS('R DATA BNPL'!$G:$G,'R DATA BNPL'!$E:$E,B37,'R DATA BNPL'!$F:$F,'REKAP PERFORMANCE'!$X$6)</f>
        <v>0</v>
      </c>
      <c r="Y37" s="47">
        <f>SUMIFS('R DATA BNPL'!$H:$H,'R DATA BNPL'!$E:$E,DAILY[[#This Row],[Date]],'R DATA BNPL'!$F:$F,'REKAP PERFORMANCE'!$X$6)</f>
        <v>0</v>
      </c>
      <c r="Z37" s="47">
        <f>SUMIFS('R DATA BNPL'!$G:$G,'R DATA BNPL'!$E:$E,B37,'R DATA BNPL'!$F:$F,'REKAP PERFORMANCE'!$Z$6)</f>
        <v>0</v>
      </c>
      <c r="AA37" s="47">
        <f>SUMIFS('R DATA BNPL'!$H:$H,'R DATA BNPL'!$E:$E,DAILY[[#This Row],[Date]],'R DATA BNPL'!$F:$F,'REKAP PERFORMANCE'!$Z$6)</f>
        <v>0</v>
      </c>
      <c r="AB37" s="48">
        <f t="shared" si="9"/>
        <v>0</v>
      </c>
      <c r="AC37" s="48">
        <f t="shared" si="10"/>
        <v>0</v>
      </c>
      <c r="AD37" s="51">
        <f>SUMIFS('R DATA BNPL'!$G:$G,'R DATA BNPL'!$E:$E,B37,'R DATA BNPL'!$F:$F,'REKAP PERFORMANCE'!$AD$6)</f>
        <v>0</v>
      </c>
      <c r="AE37" s="52">
        <f>SUMIFS('R DATA BNPL'!$H:$H,'R DATA BNPL'!$E:$E,DAILY[[#This Row],[Date]],'R DATA BNPL'!$F:$F,'REKAP PERFORMANCE'!$AD$6)</f>
        <v>0</v>
      </c>
      <c r="AF37" s="33"/>
      <c r="AG37" s="33"/>
      <c r="AH37">
        <f>SUMIFS('R DATA BNPL'!$G:$G,'R DATA BNPL'!$E:$E,B37,'R DATA BNPL'!$F:$F,'REKAP PERFORMANCE'!$AH$6)</f>
        <v>0</v>
      </c>
      <c r="AI37">
        <f>SUMIFS('R DATA BNPL'!$G:$G,'R DATA BNPL'!$E:$E,B37,'R DATA BNPL'!$F:$F,'REKAP PERFORMANCE'!$AI$6)</f>
        <v>0</v>
      </c>
      <c r="AJ37">
        <f>SUMIFS('R DATA BNPL'!$G:$G,'R DATA BNPL'!$E:$E,B37,'R DATA BNPL'!$F:$F,'REKAP PERFORMANCE'!$AJ$6)</f>
        <v>0</v>
      </c>
      <c r="AK37" s="64"/>
    </row>
    <row r="38" spans="1:37" ht="14.45">
      <c r="A38" s="2" t="str">
        <f t="shared" si="2"/>
        <v>FALSE</v>
      </c>
      <c r="B38" s="3" t="b">
        <f t="shared" si="12"/>
        <v>0</v>
      </c>
      <c r="C38"/>
      <c r="D38" s="53"/>
      <c r="E38" s="53"/>
      <c r="F38" s="53"/>
      <c r="G38" s="53"/>
      <c r="H38" s="53"/>
      <c r="I38" s="53"/>
      <c r="J38" s="46">
        <f>SUM(J7:J37)</f>
        <v>537327140</v>
      </c>
      <c r="K38" s="46">
        <f>SUM(K7:K37)</f>
        <v>32</v>
      </c>
      <c r="L38" s="53"/>
      <c r="M38" s="53"/>
      <c r="N38" s="53"/>
      <c r="O38" s="53"/>
      <c r="P38" s="48">
        <f>SUM(P7:P37)</f>
        <v>0</v>
      </c>
      <c r="Q38" s="48">
        <f>SUM(Q7:Q37)</f>
        <v>0</v>
      </c>
      <c r="R38" s="53"/>
      <c r="S38" s="53"/>
      <c r="T38" s="53"/>
      <c r="U38" s="53"/>
      <c r="V38" s="50"/>
      <c r="W38" s="50"/>
      <c r="X38" s="53"/>
      <c r="Y38" s="53"/>
      <c r="Z38" s="53"/>
      <c r="AA38" s="53"/>
      <c r="AB38" s="48"/>
      <c r="AC38" s="48"/>
      <c r="AD38" s="53"/>
      <c r="AE38" s="54"/>
      <c r="AF38" s="35"/>
      <c r="AG38" s="35"/>
      <c r="AH38"/>
      <c r="AI38"/>
      <c r="AJ38"/>
      <c r="AK38" s="64"/>
    </row>
    <row r="39" spans="1:37" ht="1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</row>
    <row r="40" spans="1:37" ht="1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</row>
  </sheetData>
  <sheetProtection algorithmName="SHA-512" hashValue="264pEPqdgoJo5KAGc7LwJCelOsixVBkKTuG4qV/C2i2y1Q1WDVNiT8D+kXVokdApJ/7VHocvLH9gsipVQHQFUw==" saltValue="Tvpfraqcw/6jJG/qEbQRBg==" spinCount="100000" sheet="1" objects="1" scenarios="1"/>
  <protectedRanges>
    <protectedRange sqref="J7:K38" name="Range1"/>
    <protectedRange sqref="P7:Q38" name="Range2"/>
    <protectedRange sqref="V7:W38" name="Range3"/>
    <protectedRange sqref="AB7:AC38" name="Range4"/>
    <protectedRange sqref="AD7:AE38" name="Range5"/>
    <protectedRange sqref="A4:A5" name="Range6"/>
  </protectedRanges>
  <mergeCells count="36">
    <mergeCell ref="AM17:AP17"/>
    <mergeCell ref="AL6:AL15"/>
    <mergeCell ref="AN7:AP7"/>
    <mergeCell ref="AQ7:AR7"/>
    <mergeCell ref="AS7:AT7"/>
    <mergeCell ref="AN13:AP13"/>
    <mergeCell ref="AQ4:AR4"/>
    <mergeCell ref="AS4:AT4"/>
    <mergeCell ref="AU13:AV13"/>
    <mergeCell ref="AN15:AW15"/>
    <mergeCell ref="AU5:AV5"/>
    <mergeCell ref="AN5:AP5"/>
    <mergeCell ref="AQ5:AR5"/>
    <mergeCell ref="AS5:AT5"/>
    <mergeCell ref="AU4:AV4"/>
    <mergeCell ref="AU7:AV7"/>
    <mergeCell ref="AN12:AP12"/>
    <mergeCell ref="AQ12:AR12"/>
    <mergeCell ref="AS12:AT12"/>
    <mergeCell ref="AU12:AV12"/>
    <mergeCell ref="B1:B5"/>
    <mergeCell ref="AL4:AM4"/>
    <mergeCell ref="AQ13:AR13"/>
    <mergeCell ref="AS13:AT13"/>
    <mergeCell ref="A1:A2"/>
    <mergeCell ref="A4:A5"/>
    <mergeCell ref="L4:N4"/>
    <mergeCell ref="R4:T4"/>
    <mergeCell ref="X4:Z4"/>
    <mergeCell ref="D4:I4"/>
    <mergeCell ref="J4:K5"/>
    <mergeCell ref="P4:Q5"/>
    <mergeCell ref="V4:W5"/>
    <mergeCell ref="AB4:AC5"/>
    <mergeCell ref="AF4:AG5"/>
    <mergeCell ref="AN4:AP4"/>
  </mergeCells>
  <conditionalFormatting sqref="AN10:AW10">
    <cfRule type="containsText" dxfId="13" priority="1" operator="containsText" text="&gt; 0">
      <formula>NOT(ISERROR(SEARCH("&gt; 0",AN10)))</formula>
    </cfRule>
  </conditionalFormatting>
  <dataValidations count="1">
    <dataValidation type="custom" allowBlank="1" showDropDown="1" sqref="B7:B38" xr:uid="{1DF3001B-A2BB-4067-9B0E-C71E4577445B}">
      <formula1>OR(NOT(ISERROR(DATEVALUE(B7))), AND(ISNUMBER(B7), LEFT(CELL("format", B7))="D"))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721AD0-DE1D-4E3E-BDE3-6300AD2FEDD4}">
          <x14:formula1>
            <xm:f>'R DATA BNPL'!$F:$F</xm:f>
          </x14:formula1>
          <xm:sqref>C6:I6 AL19:AL25 L6:O6 R6:U6 X6:AA6 AD6:AE6 AH6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6816-5CB1-4B04-A98B-8539C144440F}">
  <dimension ref="A1:I225"/>
  <sheetViews>
    <sheetView tabSelected="1" topLeftCell="A127" zoomScale="75" workbookViewId="0">
      <selection activeCell="K136" sqref="K136"/>
    </sheetView>
  </sheetViews>
  <sheetFormatPr defaultColWidth="9.140625" defaultRowHeight="14.45"/>
  <cols>
    <col min="1" max="1" width="19" style="61" customWidth="1"/>
    <col min="2" max="3" width="19" hidden="1" customWidth="1"/>
    <col min="4" max="4" width="19" style="61" customWidth="1"/>
    <col min="5" max="5" width="24.85546875" style="62" customWidth="1"/>
    <col min="6" max="6" width="19" style="61" customWidth="1"/>
    <col min="7" max="7" width="19" style="63" customWidth="1"/>
    <col min="8" max="8" width="19" style="61" customWidth="1"/>
    <col min="9" max="9" width="19" style="69" customWidth="1"/>
    <col min="10" max="11" width="19" style="61" customWidth="1"/>
    <col min="12" max="12" width="9.140625" style="61"/>
    <col min="13" max="13" width="19" style="61" customWidth="1"/>
    <col min="14" max="16384" width="9.140625" style="61"/>
  </cols>
  <sheetData>
    <row r="1" spans="1:9">
      <c r="A1" t="s">
        <v>36</v>
      </c>
      <c r="B1" s="31" t="s">
        <v>37</v>
      </c>
      <c r="C1" s="31" t="s">
        <v>38</v>
      </c>
      <c r="D1" t="s">
        <v>39</v>
      </c>
      <c r="E1" s="55" t="s">
        <v>40</v>
      </c>
      <c r="F1" t="s">
        <v>41</v>
      </c>
      <c r="G1" s="1" t="s">
        <v>12</v>
      </c>
      <c r="H1" t="s">
        <v>13</v>
      </c>
      <c r="I1" s="69" t="s">
        <v>42</v>
      </c>
    </row>
    <row r="2" spans="1:9" customFormat="1" hidden="1">
      <c r="A2">
        <v>1</v>
      </c>
      <c r="B2" s="31">
        <v>46155.858796296299</v>
      </c>
      <c r="C2" s="31">
        <v>46155.861886574101</v>
      </c>
      <c r="D2" t="s">
        <v>43</v>
      </c>
      <c r="E2" s="56">
        <v>46143</v>
      </c>
      <c r="F2" t="s">
        <v>44</v>
      </c>
      <c r="G2" s="1">
        <v>1498134</v>
      </c>
      <c r="H2" s="1"/>
      <c r="I2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3" spans="1:9" customFormat="1" hidden="1">
      <c r="A3">
        <v>13</v>
      </c>
      <c r="B3" s="31">
        <v>46159.737777777802</v>
      </c>
      <c r="C3" s="31">
        <v>46159.738148148099</v>
      </c>
      <c r="D3" t="s">
        <v>43</v>
      </c>
      <c r="E3" s="56">
        <v>46143</v>
      </c>
      <c r="F3" t="s">
        <v>44</v>
      </c>
      <c r="G3" s="1">
        <v>14981340</v>
      </c>
      <c r="H3" s="1"/>
      <c r="I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" spans="1:9" customFormat="1" hidden="1">
      <c r="A4">
        <v>58</v>
      </c>
      <c r="B4" s="31">
        <v>46197.563750000001</v>
      </c>
      <c r="C4" s="31">
        <v>46197.564039351899</v>
      </c>
      <c r="D4" t="s">
        <v>43</v>
      </c>
      <c r="E4" s="56">
        <v>46143</v>
      </c>
      <c r="F4" t="s">
        <v>45</v>
      </c>
      <c r="G4" s="1">
        <v>14400000</v>
      </c>
      <c r="H4" s="1"/>
      <c r="I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" spans="1:9" customFormat="1" hidden="1">
      <c r="A5">
        <v>61</v>
      </c>
      <c r="B5" s="31">
        <v>46197.565937500003</v>
      </c>
      <c r="C5" s="31">
        <v>46197.566921296297</v>
      </c>
      <c r="D5" t="s">
        <v>43</v>
      </c>
      <c r="E5" s="56">
        <v>46143</v>
      </c>
      <c r="F5" t="s">
        <v>44</v>
      </c>
      <c r="G5" s="1">
        <v>12726000</v>
      </c>
      <c r="H5" s="1"/>
      <c r="I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" spans="1:9" customFormat="1" hidden="1">
      <c r="A6">
        <v>2</v>
      </c>
      <c r="B6" s="31">
        <v>46155.862129629597</v>
      </c>
      <c r="C6" s="31">
        <v>46155.863067129598</v>
      </c>
      <c r="D6" t="s">
        <v>43</v>
      </c>
      <c r="E6" s="56">
        <v>46144</v>
      </c>
      <c r="F6" t="s">
        <v>44</v>
      </c>
      <c r="G6" s="1">
        <v>7878</v>
      </c>
      <c r="H6" s="1"/>
      <c r="I6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7" spans="1:9" customFormat="1" hidden="1">
      <c r="A7">
        <v>14</v>
      </c>
      <c r="B7" s="31">
        <v>46159.738194444399</v>
      </c>
      <c r="C7" s="31">
        <v>46159.738541666702</v>
      </c>
      <c r="D7" t="s">
        <v>43</v>
      </c>
      <c r="E7" s="56">
        <v>46144</v>
      </c>
      <c r="F7" t="s">
        <v>44</v>
      </c>
      <c r="G7" s="1">
        <v>7878000</v>
      </c>
      <c r="H7" s="1"/>
      <c r="I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" spans="1:9" customFormat="1" hidden="1">
      <c r="A8">
        <v>62</v>
      </c>
      <c r="B8" s="31">
        <v>46197.566967592596</v>
      </c>
      <c r="C8" s="31">
        <v>46197.567349536999</v>
      </c>
      <c r="D8" t="s">
        <v>43</v>
      </c>
      <c r="E8" s="56">
        <v>46144</v>
      </c>
      <c r="F8" t="s">
        <v>44</v>
      </c>
      <c r="G8" s="1">
        <v>7878000</v>
      </c>
      <c r="H8" s="1"/>
      <c r="I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" spans="1:9" customFormat="1" hidden="1">
      <c r="A9">
        <v>3</v>
      </c>
      <c r="B9" s="31">
        <v>46155.863148148099</v>
      </c>
      <c r="C9" s="31">
        <v>46155.864537037</v>
      </c>
      <c r="D9" t="s">
        <v>43</v>
      </c>
      <c r="E9" s="56">
        <v>46145</v>
      </c>
      <c r="F9" t="s">
        <v>44</v>
      </c>
      <c r="G9" s="1">
        <v>1271782</v>
      </c>
      <c r="H9" s="1"/>
      <c r="I9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10" spans="1:9" customFormat="1" hidden="1">
      <c r="A10">
        <v>9</v>
      </c>
      <c r="B10" s="31">
        <v>46159.724050925899</v>
      </c>
      <c r="C10" s="31">
        <v>46159.725381944401</v>
      </c>
      <c r="D10" t="s">
        <v>43</v>
      </c>
      <c r="E10" s="56">
        <v>46145</v>
      </c>
      <c r="F10" t="s">
        <v>46</v>
      </c>
      <c r="G10" s="1">
        <v>28420390</v>
      </c>
      <c r="H10" s="1"/>
      <c r="I1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" spans="1:9" customFormat="1" hidden="1">
      <c r="A11">
        <v>10</v>
      </c>
      <c r="B11" s="31">
        <v>46159.725694444402</v>
      </c>
      <c r="C11" s="31">
        <v>46159.725983796299</v>
      </c>
      <c r="D11" t="s">
        <v>43</v>
      </c>
      <c r="E11" s="56">
        <v>46145</v>
      </c>
      <c r="F11" t="s">
        <v>46</v>
      </c>
      <c r="G11" s="1">
        <v>18749640</v>
      </c>
      <c r="H11" s="1"/>
      <c r="I1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" spans="1:9" customFormat="1" hidden="1">
      <c r="A12">
        <v>15</v>
      </c>
      <c r="B12" s="31">
        <v>46159.738564814797</v>
      </c>
      <c r="C12" s="31">
        <v>46159.739826388897</v>
      </c>
      <c r="D12" t="s">
        <v>43</v>
      </c>
      <c r="E12" s="56">
        <v>46145</v>
      </c>
      <c r="F12" t="s">
        <v>44</v>
      </c>
      <c r="G12" s="1">
        <v>11899820</v>
      </c>
      <c r="H12" s="1"/>
      <c r="I1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" spans="1:9" customFormat="1" hidden="1">
      <c r="A13">
        <v>64</v>
      </c>
      <c r="B13" s="31">
        <v>46197.567372685196</v>
      </c>
      <c r="C13" s="31">
        <v>46197.567638888897</v>
      </c>
      <c r="D13" t="s">
        <v>43</v>
      </c>
      <c r="E13" s="56">
        <v>46145</v>
      </c>
      <c r="F13" t="s">
        <v>44</v>
      </c>
      <c r="G13" s="1">
        <v>11899000</v>
      </c>
      <c r="H13" s="1"/>
      <c r="I1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" spans="1:9" customFormat="1" hidden="1">
      <c r="A14">
        <v>4</v>
      </c>
      <c r="B14" s="31">
        <v>46155.864629629599</v>
      </c>
      <c r="C14" s="31">
        <v>46155.866307870398</v>
      </c>
      <c r="D14" t="s">
        <v>43</v>
      </c>
      <c r="E14" s="56">
        <v>46146</v>
      </c>
      <c r="F14" t="s">
        <v>44</v>
      </c>
      <c r="G14" s="1">
        <v>21051509</v>
      </c>
      <c r="H14" s="1"/>
      <c r="I1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" spans="1:9" customFormat="1" hidden="1">
      <c r="A15">
        <v>16</v>
      </c>
      <c r="B15" s="31">
        <v>46159.739861111098</v>
      </c>
      <c r="C15" s="31">
        <v>46159.740266203698</v>
      </c>
      <c r="D15" t="s">
        <v>43</v>
      </c>
      <c r="E15" s="56">
        <v>46146</v>
      </c>
      <c r="F15" t="s">
        <v>44</v>
      </c>
      <c r="G15" s="1">
        <v>19491990</v>
      </c>
      <c r="H15" s="1"/>
      <c r="I1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" spans="1:9" customFormat="1" hidden="1">
      <c r="A16">
        <v>65</v>
      </c>
      <c r="B16" s="31">
        <v>46197.567673611098</v>
      </c>
      <c r="C16" s="31">
        <v>46197.567962963003</v>
      </c>
      <c r="D16" t="s">
        <v>43</v>
      </c>
      <c r="E16" s="56">
        <v>46146</v>
      </c>
      <c r="F16" t="s">
        <v>44</v>
      </c>
      <c r="G16" s="1">
        <v>19491990</v>
      </c>
      <c r="H16" s="1"/>
      <c r="I1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" spans="1:9" customFormat="1" hidden="1">
      <c r="A17">
        <v>59</v>
      </c>
      <c r="B17" s="31">
        <v>46197.564097222203</v>
      </c>
      <c r="C17" s="31">
        <v>46197.565300925897</v>
      </c>
      <c r="D17" t="s">
        <v>43</v>
      </c>
      <c r="E17" s="56">
        <v>46147</v>
      </c>
      <c r="F17" t="s">
        <v>45</v>
      </c>
      <c r="G17" s="1">
        <v>16688000</v>
      </c>
      <c r="H17" s="1"/>
      <c r="I1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" spans="1:9" customFormat="1" hidden="1">
      <c r="A18">
        <v>74</v>
      </c>
      <c r="B18" s="31">
        <v>46197.568182870396</v>
      </c>
      <c r="C18" s="31">
        <v>46197.570324074099</v>
      </c>
      <c r="D18" t="s">
        <v>43</v>
      </c>
      <c r="E18" s="56">
        <v>46148</v>
      </c>
      <c r="F18" t="s">
        <v>45</v>
      </c>
      <c r="G18" s="1">
        <v>19313000</v>
      </c>
      <c r="H18" s="1"/>
      <c r="I1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" spans="1:9" customFormat="1" hidden="1">
      <c r="A19">
        <v>5</v>
      </c>
      <c r="B19" s="31">
        <v>46155.867962962999</v>
      </c>
      <c r="C19" s="31">
        <v>46155.871203703697</v>
      </c>
      <c r="D19" t="s">
        <v>43</v>
      </c>
      <c r="E19" s="56">
        <v>46151</v>
      </c>
      <c r="F19" t="s">
        <v>44</v>
      </c>
      <c r="G19" s="1">
        <v>1252299</v>
      </c>
      <c r="H19" s="1"/>
      <c r="I19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20" spans="1:9" customFormat="1" hidden="1">
      <c r="A20">
        <v>17</v>
      </c>
      <c r="B20" s="31">
        <v>46159.7403009259</v>
      </c>
      <c r="C20" s="31">
        <v>46159.740682870397</v>
      </c>
      <c r="D20" t="s">
        <v>43</v>
      </c>
      <c r="E20" s="56">
        <v>46151</v>
      </c>
      <c r="F20" t="s">
        <v>44</v>
      </c>
      <c r="G20" s="1">
        <v>12522990</v>
      </c>
      <c r="H20" s="1"/>
      <c r="I2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" spans="1:9" customFormat="1" hidden="1">
      <c r="A21">
        <v>67</v>
      </c>
      <c r="B21" s="31">
        <v>46197.567997685197</v>
      </c>
      <c r="C21" s="31">
        <v>46197.5683333333</v>
      </c>
      <c r="D21" t="s">
        <v>43</v>
      </c>
      <c r="E21" s="56">
        <v>46151</v>
      </c>
      <c r="F21" t="s">
        <v>44</v>
      </c>
      <c r="G21" s="1">
        <v>12522990</v>
      </c>
      <c r="H21" s="1"/>
      <c r="I2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2" spans="1:9" customFormat="1" hidden="1">
      <c r="A22">
        <v>6</v>
      </c>
      <c r="B22" s="31">
        <v>46155.871770833299</v>
      </c>
      <c r="C22" s="31">
        <v>46155.872349537</v>
      </c>
      <c r="D22" t="s">
        <v>43</v>
      </c>
      <c r="E22" s="56">
        <v>46152</v>
      </c>
      <c r="F22" t="s">
        <v>44</v>
      </c>
      <c r="G22" s="1">
        <v>1772449</v>
      </c>
      <c r="H22" s="1"/>
      <c r="I22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23" spans="1:9" customFormat="1" hidden="1">
      <c r="A23">
        <v>11</v>
      </c>
      <c r="B23" s="31">
        <v>46159.726099537002</v>
      </c>
      <c r="C23" s="31">
        <v>46159.726435185199</v>
      </c>
      <c r="D23" t="s">
        <v>43</v>
      </c>
      <c r="E23" s="56">
        <v>46152</v>
      </c>
      <c r="F23" t="s">
        <v>46</v>
      </c>
      <c r="G23" s="1">
        <v>7791140</v>
      </c>
      <c r="H23" s="1"/>
      <c r="I2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4" spans="1:9" customFormat="1" hidden="1">
      <c r="A24">
        <v>18</v>
      </c>
      <c r="B24" s="31">
        <v>46159.740752314799</v>
      </c>
      <c r="C24" s="31">
        <v>46159.7409259259</v>
      </c>
      <c r="D24" t="s">
        <v>43</v>
      </c>
      <c r="E24" s="56">
        <v>46152</v>
      </c>
      <c r="F24" t="s">
        <v>44</v>
      </c>
      <c r="G24" s="1">
        <v>16261000</v>
      </c>
      <c r="H24" s="1"/>
      <c r="I2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5" spans="1:9" customFormat="1" hidden="1">
      <c r="A25">
        <v>63</v>
      </c>
      <c r="B25" s="31">
        <v>46197.566273148099</v>
      </c>
      <c r="C25" s="31">
        <v>46197.567418981504</v>
      </c>
      <c r="D25" t="s">
        <v>43</v>
      </c>
      <c r="E25" s="56">
        <v>46152</v>
      </c>
      <c r="F25" t="s">
        <v>45</v>
      </c>
      <c r="G25" s="1">
        <v>21899000</v>
      </c>
      <c r="H25" s="1"/>
      <c r="I2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6" spans="1:9" customFormat="1" hidden="1">
      <c r="A26">
        <v>68</v>
      </c>
      <c r="B26" s="31">
        <v>46197.568391203698</v>
      </c>
      <c r="C26" s="31">
        <v>46197.568680555603</v>
      </c>
      <c r="D26" t="s">
        <v>43</v>
      </c>
      <c r="E26" s="56">
        <v>46152</v>
      </c>
      <c r="F26" t="s">
        <v>44</v>
      </c>
      <c r="G26" s="1">
        <v>16261000</v>
      </c>
      <c r="H26" s="1"/>
      <c r="I2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7" spans="1:9" customFormat="1" hidden="1">
      <c r="A27">
        <v>7</v>
      </c>
      <c r="B27" s="31">
        <v>46155.897731481498</v>
      </c>
      <c r="C27" s="31">
        <v>46155.898460648197</v>
      </c>
      <c r="D27" t="s">
        <v>43</v>
      </c>
      <c r="E27" s="56">
        <v>46155</v>
      </c>
      <c r="F27" t="s">
        <v>45</v>
      </c>
      <c r="G27" s="1">
        <v>8230490</v>
      </c>
      <c r="H27" s="1"/>
      <c r="I2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8" spans="1:9" customFormat="1" hidden="1">
      <c r="A28">
        <v>12</v>
      </c>
      <c r="B28" s="31">
        <v>46159.726504629602</v>
      </c>
      <c r="C28" s="31">
        <v>46159.726724537002</v>
      </c>
      <c r="D28" t="s">
        <v>43</v>
      </c>
      <c r="E28" s="56">
        <v>46155</v>
      </c>
      <c r="F28" t="s">
        <v>46</v>
      </c>
      <c r="G28" s="1">
        <v>4848000</v>
      </c>
      <c r="H28" s="1"/>
      <c r="I28" t="str">
        <f>IF(OR(Table1[[#This Row],[Amount]]="", ISBLANK(Table1[[#This Row],[Amount]])), "", IFERROR(LOOKUP(Table1[[#This Row],[Amount]], {0;2500000;2500001;5000001}, {"Tier 0";"Tier 1";"Tier 2";"Tier 3"}), ""))</f>
        <v>Tier 2</v>
      </c>
    </row>
    <row r="29" spans="1:9" customFormat="1" hidden="1">
      <c r="A29">
        <v>66</v>
      </c>
      <c r="B29" s="31">
        <v>46197.567511574103</v>
      </c>
      <c r="C29" s="31">
        <v>46197.568113425899</v>
      </c>
      <c r="D29" t="s">
        <v>43</v>
      </c>
      <c r="E29" s="56">
        <v>46155</v>
      </c>
      <c r="F29" t="s">
        <v>45</v>
      </c>
      <c r="G29" s="1">
        <v>8149000</v>
      </c>
      <c r="H29" s="1"/>
      <c r="I2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0" spans="1:9" customFormat="1" hidden="1">
      <c r="A30">
        <v>8</v>
      </c>
      <c r="B30" s="31">
        <v>46156.891377314802</v>
      </c>
      <c r="C30" s="31">
        <v>46156.891782407401</v>
      </c>
      <c r="D30" t="s">
        <v>43</v>
      </c>
      <c r="E30" s="56">
        <v>46156</v>
      </c>
      <c r="F30" t="s">
        <v>45</v>
      </c>
      <c r="G30" s="1">
        <v>4500000</v>
      </c>
      <c r="H30" s="1"/>
      <c r="I30" t="str">
        <f>IF(OR(Table1[[#This Row],[Amount]]="", ISBLANK(Table1[[#This Row],[Amount]])), "", IFERROR(LOOKUP(Table1[[#This Row],[Amount]], {0;2500000;2500001;5000001}, {"Tier 0";"Tier 1";"Tier 2";"Tier 3"}), ""))</f>
        <v>Tier 2</v>
      </c>
    </row>
    <row r="31" spans="1:9" customFormat="1" hidden="1">
      <c r="A31">
        <v>19</v>
      </c>
      <c r="B31" s="31">
        <v>46161.932546296302</v>
      </c>
      <c r="C31" s="31">
        <v>46161.933240740698</v>
      </c>
      <c r="D31" t="s">
        <v>43</v>
      </c>
      <c r="E31" s="56">
        <v>46161</v>
      </c>
      <c r="F31" t="s">
        <v>46</v>
      </c>
      <c r="G31" s="1">
        <v>24543000</v>
      </c>
      <c r="H31" s="1"/>
      <c r="I3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2" spans="1:9" customFormat="1" hidden="1">
      <c r="A32">
        <v>20</v>
      </c>
      <c r="B32" s="31">
        <v>46162.7597453704</v>
      </c>
      <c r="C32" s="31">
        <v>46162.759953703702</v>
      </c>
      <c r="D32" t="s">
        <v>43</v>
      </c>
      <c r="E32" s="56">
        <v>46161</v>
      </c>
      <c r="F32" t="s">
        <v>45</v>
      </c>
      <c r="G32" s="1">
        <v>8900000</v>
      </c>
      <c r="H32" s="1"/>
      <c r="I3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3" spans="1:9" customFormat="1" hidden="1">
      <c r="A33">
        <v>30</v>
      </c>
      <c r="B33" s="31">
        <v>46173.651111111103</v>
      </c>
      <c r="C33" s="31">
        <v>46173.651550925897</v>
      </c>
      <c r="D33" t="s">
        <v>43</v>
      </c>
      <c r="E33" s="56">
        <v>46161</v>
      </c>
      <c r="F33" t="s">
        <v>46</v>
      </c>
      <c r="G33" s="1">
        <v>14544000</v>
      </c>
      <c r="H33" s="1"/>
      <c r="I3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4" spans="1:9" customFormat="1" hidden="1">
      <c r="A34">
        <v>21</v>
      </c>
      <c r="B34" s="31">
        <v>46163.928900462997</v>
      </c>
      <c r="C34" s="31">
        <v>46163.9291435185</v>
      </c>
      <c r="D34" t="s">
        <v>43</v>
      </c>
      <c r="E34" s="56">
        <v>46163</v>
      </c>
      <c r="F34" t="s">
        <v>45</v>
      </c>
      <c r="G34" s="1">
        <v>11498000</v>
      </c>
      <c r="H34" s="1"/>
      <c r="I3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5" spans="1:9" customFormat="1" hidden="1">
      <c r="A35">
        <v>22</v>
      </c>
      <c r="B35" s="31">
        <v>46164.302025463003</v>
      </c>
      <c r="C35" s="31">
        <v>46164.3024421296</v>
      </c>
      <c r="D35" t="s">
        <v>43</v>
      </c>
      <c r="E35" s="56">
        <v>46163</v>
      </c>
      <c r="F35" t="s">
        <v>44</v>
      </c>
      <c r="G35" s="1">
        <v>57164200</v>
      </c>
      <c r="H35" s="1"/>
      <c r="I3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6" spans="1:9" customFormat="1" hidden="1">
      <c r="A36">
        <v>69</v>
      </c>
      <c r="B36" s="31">
        <v>46197.568807870397</v>
      </c>
      <c r="C36" s="31">
        <v>46197.569155092599</v>
      </c>
      <c r="D36" t="s">
        <v>43</v>
      </c>
      <c r="E36" s="56">
        <v>46163</v>
      </c>
      <c r="F36" t="s">
        <v>44</v>
      </c>
      <c r="G36" s="1">
        <v>57635044</v>
      </c>
      <c r="H36" s="1"/>
      <c r="I3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7" spans="1:9" customFormat="1" hidden="1">
      <c r="A37">
        <v>23</v>
      </c>
      <c r="B37" s="31">
        <v>46166.566273148099</v>
      </c>
      <c r="C37" s="31">
        <v>46166.566458333298</v>
      </c>
      <c r="D37" t="s">
        <v>43</v>
      </c>
      <c r="E37" s="56">
        <v>46164</v>
      </c>
      <c r="F37" t="s">
        <v>45</v>
      </c>
      <c r="G37" s="1">
        <v>11600000</v>
      </c>
      <c r="H37" s="1"/>
      <c r="I3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8" spans="1:9" customFormat="1" hidden="1">
      <c r="A38">
        <v>25</v>
      </c>
      <c r="B38" s="31">
        <v>46170.735625000001</v>
      </c>
      <c r="C38" s="31">
        <v>46170.7367592593</v>
      </c>
      <c r="D38" t="s">
        <v>43</v>
      </c>
      <c r="E38" s="56">
        <v>46164</v>
      </c>
      <c r="F38" t="s">
        <v>44</v>
      </c>
      <c r="G38" s="1">
        <v>20099000</v>
      </c>
      <c r="H38" s="1"/>
      <c r="I3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39" spans="1:9" customFormat="1" hidden="1">
      <c r="A39">
        <v>70</v>
      </c>
      <c r="B39" s="31">
        <v>46197.569178240701</v>
      </c>
      <c r="C39" s="31">
        <v>46197.5694097222</v>
      </c>
      <c r="D39" t="s">
        <v>43</v>
      </c>
      <c r="E39" s="56">
        <v>46164</v>
      </c>
      <c r="F39" t="s">
        <v>44</v>
      </c>
      <c r="G39" s="1">
        <v>20099000</v>
      </c>
      <c r="H39" s="1"/>
      <c r="I3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0" spans="1:9" customFormat="1" hidden="1">
      <c r="A40">
        <v>26</v>
      </c>
      <c r="B40" s="31">
        <v>46170.7368055556</v>
      </c>
      <c r="C40" s="31">
        <v>46170.737199074101</v>
      </c>
      <c r="D40" t="s">
        <v>43</v>
      </c>
      <c r="E40" s="56">
        <v>46166</v>
      </c>
      <c r="F40" t="s">
        <v>44</v>
      </c>
      <c r="G40" s="1">
        <v>17137680</v>
      </c>
      <c r="H40" s="1"/>
      <c r="I4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1" spans="1:9" customFormat="1" hidden="1">
      <c r="A41">
        <v>31</v>
      </c>
      <c r="B41" s="31">
        <v>46173.651782407404</v>
      </c>
      <c r="C41" s="31">
        <v>46173.652129629598</v>
      </c>
      <c r="D41" t="s">
        <v>43</v>
      </c>
      <c r="E41" s="56">
        <v>46166</v>
      </c>
      <c r="F41" t="s">
        <v>46</v>
      </c>
      <c r="G41" s="1">
        <v>13500000</v>
      </c>
      <c r="H41" s="1"/>
      <c r="I4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2" spans="1:9" customFormat="1" hidden="1">
      <c r="A42">
        <v>32</v>
      </c>
      <c r="B42" s="31">
        <v>46173.649930555599</v>
      </c>
      <c r="C42" s="31">
        <v>46173.652824074103</v>
      </c>
      <c r="D42" t="s">
        <v>43</v>
      </c>
      <c r="E42" s="56">
        <v>46166</v>
      </c>
      <c r="F42" t="s">
        <v>44</v>
      </c>
      <c r="G42" s="1">
        <v>17137680</v>
      </c>
      <c r="H42" s="1"/>
      <c r="I4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3" spans="1:9" customFormat="1" hidden="1">
      <c r="A43">
        <v>71</v>
      </c>
      <c r="B43" s="31">
        <v>46197.569467592599</v>
      </c>
      <c r="C43" s="31">
        <v>46197.569733796299</v>
      </c>
      <c r="D43" t="s">
        <v>43</v>
      </c>
      <c r="E43" s="56">
        <v>46166</v>
      </c>
      <c r="F43" t="s">
        <v>44</v>
      </c>
      <c r="G43" s="1">
        <v>17137680</v>
      </c>
      <c r="H43" s="1"/>
      <c r="I4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4" spans="1:9" customFormat="1" hidden="1">
      <c r="A44">
        <v>75</v>
      </c>
      <c r="B44" s="31">
        <v>46197.576620370397</v>
      </c>
      <c r="C44" s="31">
        <v>46197.576944444401</v>
      </c>
      <c r="D44" t="s">
        <v>43</v>
      </c>
      <c r="E44" s="56">
        <v>46166</v>
      </c>
      <c r="F44" t="s">
        <v>45</v>
      </c>
      <c r="G44" s="1">
        <v>4839000</v>
      </c>
      <c r="H44" s="1"/>
      <c r="I44" t="str">
        <f>IF(OR(Table1[[#This Row],[Amount]]="", ISBLANK(Table1[[#This Row],[Amount]])), "", IFERROR(LOOKUP(Table1[[#This Row],[Amount]], {0;2500000;2500001;5000001}, {"Tier 0";"Tier 1";"Tier 2";"Tier 3"}), ""))</f>
        <v>Tier 2</v>
      </c>
    </row>
    <row r="45" spans="1:9" customFormat="1" hidden="1">
      <c r="A45">
        <v>27</v>
      </c>
      <c r="B45" s="31">
        <v>46170.737222222197</v>
      </c>
      <c r="C45" s="31">
        <v>46170.737534722197</v>
      </c>
      <c r="D45" t="s">
        <v>43</v>
      </c>
      <c r="E45" s="56">
        <v>46167</v>
      </c>
      <c r="F45" t="s">
        <v>44</v>
      </c>
      <c r="G45" s="1">
        <v>16158990</v>
      </c>
      <c r="H45" s="1"/>
      <c r="I4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6" spans="1:9" customFormat="1" hidden="1">
      <c r="A46">
        <v>33</v>
      </c>
      <c r="B46" s="31">
        <v>46173.652905092596</v>
      </c>
      <c r="C46" s="31">
        <v>46173.653356481504</v>
      </c>
      <c r="D46" t="s">
        <v>43</v>
      </c>
      <c r="E46" s="56">
        <v>46167</v>
      </c>
      <c r="F46" t="s">
        <v>44</v>
      </c>
      <c r="G46" s="1">
        <v>16158990</v>
      </c>
      <c r="H46" s="1"/>
      <c r="I4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7" spans="1:9" customFormat="1" hidden="1">
      <c r="A47">
        <v>24</v>
      </c>
      <c r="B47" s="31">
        <v>46168.9266319444</v>
      </c>
      <c r="C47" s="31">
        <v>46168.926828703698</v>
      </c>
      <c r="D47" t="s">
        <v>43</v>
      </c>
      <c r="E47" s="56">
        <v>46168</v>
      </c>
      <c r="F47" t="s">
        <v>45</v>
      </c>
      <c r="G47" s="1">
        <v>7899000</v>
      </c>
      <c r="H47" s="1"/>
      <c r="I4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8" spans="1:9" customFormat="1" hidden="1">
      <c r="A48">
        <v>28</v>
      </c>
      <c r="B48" s="31">
        <v>46170.737557870401</v>
      </c>
      <c r="C48" s="31">
        <v>46170.737881944398</v>
      </c>
      <c r="D48" t="s">
        <v>43</v>
      </c>
      <c r="E48" s="56">
        <v>46170</v>
      </c>
      <c r="F48" t="s">
        <v>44</v>
      </c>
      <c r="G48" s="1">
        <v>13130000</v>
      </c>
      <c r="H48" s="1"/>
      <c r="I4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49" spans="1:9" customFormat="1" hidden="1">
      <c r="A49">
        <v>34</v>
      </c>
      <c r="B49" s="31">
        <v>46173.653391203698</v>
      </c>
      <c r="C49" s="31">
        <v>46173.653761574104</v>
      </c>
      <c r="D49" t="s">
        <v>43</v>
      </c>
      <c r="E49" s="56">
        <v>46170</v>
      </c>
      <c r="F49" t="s">
        <v>44</v>
      </c>
      <c r="G49" s="1">
        <v>13130000</v>
      </c>
      <c r="H49" s="1"/>
      <c r="I4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0" spans="1:9" customFormat="1" hidden="1">
      <c r="A50">
        <v>29</v>
      </c>
      <c r="B50" s="31">
        <v>46172.499768518501</v>
      </c>
      <c r="C50" s="31">
        <v>46172.4999074074</v>
      </c>
      <c r="D50" t="s">
        <v>43</v>
      </c>
      <c r="E50" s="56">
        <v>46171</v>
      </c>
      <c r="F50" t="s">
        <v>45</v>
      </c>
      <c r="G50" s="1">
        <v>12798000</v>
      </c>
      <c r="H50" s="1"/>
      <c r="I5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1" spans="1:9" customFormat="1" hidden="1">
      <c r="A51">
        <v>35</v>
      </c>
      <c r="B51" s="31">
        <v>46173.736678240697</v>
      </c>
      <c r="C51" s="31">
        <v>46173.736817129597</v>
      </c>
      <c r="D51" t="s">
        <v>43</v>
      </c>
      <c r="E51" s="56">
        <v>46172</v>
      </c>
      <c r="F51" t="s">
        <v>45</v>
      </c>
      <c r="G51" s="1">
        <v>29499000</v>
      </c>
      <c r="H51" s="1"/>
      <c r="I5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2" spans="1:9" customFormat="1" hidden="1">
      <c r="A52">
        <v>39</v>
      </c>
      <c r="B52" s="31">
        <v>46183.9285648148</v>
      </c>
      <c r="C52" s="31">
        <v>46183.929050925901</v>
      </c>
      <c r="D52" t="s">
        <v>43</v>
      </c>
      <c r="E52" s="56">
        <v>46173</v>
      </c>
      <c r="F52" t="s">
        <v>44</v>
      </c>
      <c r="G52" s="1">
        <v>17999000</v>
      </c>
      <c r="H52" s="1"/>
      <c r="I5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3" spans="1:9" customFormat="1" hidden="1">
      <c r="A53">
        <v>36</v>
      </c>
      <c r="B53" s="31">
        <v>46183.927453703698</v>
      </c>
      <c r="C53" s="31">
        <v>46183.9277083333</v>
      </c>
      <c r="D53" t="s">
        <v>43</v>
      </c>
      <c r="E53" s="56">
        <v>46174</v>
      </c>
      <c r="F53" t="s">
        <v>44</v>
      </c>
      <c r="G53" s="1">
        <v>10100000</v>
      </c>
      <c r="H53" s="1"/>
      <c r="I5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4" spans="1:9" customFormat="1" hidden="1">
      <c r="A54">
        <v>48</v>
      </c>
      <c r="B54" s="31">
        <v>46197.552291666703</v>
      </c>
      <c r="C54" s="31">
        <v>46197.552511574097</v>
      </c>
      <c r="D54" t="s">
        <v>43</v>
      </c>
      <c r="E54" s="56">
        <v>46174</v>
      </c>
      <c r="F54" t="s">
        <v>44</v>
      </c>
      <c r="G54" s="1">
        <v>10100000</v>
      </c>
      <c r="H54" s="1"/>
      <c r="I5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5" spans="1:9" customFormat="1" hidden="1">
      <c r="A55">
        <v>47</v>
      </c>
      <c r="B55" s="31">
        <v>46197.551932870403</v>
      </c>
      <c r="C55" s="31">
        <v>46197.552361111098</v>
      </c>
      <c r="D55" t="s">
        <v>43</v>
      </c>
      <c r="E55" s="56">
        <v>46175</v>
      </c>
      <c r="F55" t="s">
        <v>46</v>
      </c>
      <c r="G55" s="1">
        <v>12625000</v>
      </c>
      <c r="H55" s="1"/>
      <c r="I5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6" spans="1:9" customFormat="1" hidden="1">
      <c r="A56">
        <v>37</v>
      </c>
      <c r="B56" s="31">
        <v>46183.9277546296</v>
      </c>
      <c r="C56" s="31">
        <v>46183.927997685198</v>
      </c>
      <c r="D56" t="s">
        <v>43</v>
      </c>
      <c r="E56" s="56">
        <v>46176</v>
      </c>
      <c r="F56" t="s">
        <v>44</v>
      </c>
      <c r="G56" s="1">
        <v>23429980</v>
      </c>
      <c r="H56" s="1"/>
      <c r="I5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7" spans="1:9" customFormat="1" hidden="1">
      <c r="A57">
        <v>50</v>
      </c>
      <c r="B57" s="31">
        <v>46197.552581018499</v>
      </c>
      <c r="C57" s="31">
        <v>46197.552847222199</v>
      </c>
      <c r="D57" t="s">
        <v>43</v>
      </c>
      <c r="E57" s="56">
        <v>46176</v>
      </c>
      <c r="F57" t="s">
        <v>44</v>
      </c>
      <c r="G57" s="1">
        <v>23429980</v>
      </c>
      <c r="H57" s="1"/>
      <c r="I5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8" spans="1:9" customFormat="1" hidden="1">
      <c r="A58">
        <v>38</v>
      </c>
      <c r="B58" s="31">
        <v>46183.928321759297</v>
      </c>
      <c r="C58" s="31">
        <v>46183.928530092599</v>
      </c>
      <c r="D58" t="s">
        <v>43</v>
      </c>
      <c r="E58" s="56">
        <v>46177</v>
      </c>
      <c r="F58" t="s">
        <v>44</v>
      </c>
      <c r="G58" s="1">
        <v>22693690</v>
      </c>
      <c r="H58" s="1"/>
      <c r="I5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59" spans="1:9" customFormat="1" hidden="1">
      <c r="A59">
        <v>52</v>
      </c>
      <c r="B59" s="31">
        <v>46197.552870370397</v>
      </c>
      <c r="C59" s="31">
        <v>46197.5531597222</v>
      </c>
      <c r="D59" t="s">
        <v>43</v>
      </c>
      <c r="E59" s="56">
        <v>46177</v>
      </c>
      <c r="F59" t="s">
        <v>44</v>
      </c>
      <c r="G59" s="1">
        <v>22693690</v>
      </c>
      <c r="H59" s="1"/>
      <c r="I5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0" spans="1:9" customFormat="1" hidden="1">
      <c r="A60">
        <v>40</v>
      </c>
      <c r="B60" s="31">
        <v>46186.539849537003</v>
      </c>
      <c r="C60" s="31">
        <v>46186.539988425902</v>
      </c>
      <c r="D60" t="s">
        <v>43</v>
      </c>
      <c r="E60" s="56">
        <v>46179</v>
      </c>
      <c r="F60" t="s">
        <v>45</v>
      </c>
      <c r="G60" s="1">
        <v>14450000</v>
      </c>
      <c r="H60" s="1"/>
      <c r="I6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1" spans="1:9" customFormat="1" hidden="1">
      <c r="A61">
        <v>60</v>
      </c>
      <c r="B61" s="31">
        <v>46197.565405092602</v>
      </c>
      <c r="C61" s="31">
        <v>46197.566238425898</v>
      </c>
      <c r="D61" t="s">
        <v>43</v>
      </c>
      <c r="E61" s="56">
        <v>46179</v>
      </c>
      <c r="F61" t="s">
        <v>45</v>
      </c>
      <c r="G61" s="1">
        <v>19313000</v>
      </c>
      <c r="H61" s="1"/>
      <c r="I6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2" spans="1:9" customFormat="1" hidden="1">
      <c r="A62">
        <v>41</v>
      </c>
      <c r="B62" s="31">
        <v>46186.540057870399</v>
      </c>
      <c r="C62" s="31">
        <v>46186.5409490741</v>
      </c>
      <c r="D62" t="s">
        <v>43</v>
      </c>
      <c r="E62" s="56">
        <v>46184</v>
      </c>
      <c r="F62" t="s">
        <v>45</v>
      </c>
      <c r="G62" s="1">
        <v>23438000</v>
      </c>
      <c r="H62" s="1"/>
      <c r="I6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3" spans="1:9" customFormat="1" hidden="1">
      <c r="A63">
        <v>42</v>
      </c>
      <c r="B63" s="31">
        <v>46186.5409953704</v>
      </c>
      <c r="C63" s="31">
        <v>46186.541469907403</v>
      </c>
      <c r="D63" t="s">
        <v>43</v>
      </c>
      <c r="E63" s="56">
        <v>46185</v>
      </c>
      <c r="F63" t="s">
        <v>45</v>
      </c>
      <c r="G63" s="1">
        <v>24999000</v>
      </c>
      <c r="H63" s="1"/>
      <c r="I6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4" spans="1:9" customFormat="1" hidden="1">
      <c r="A64">
        <v>43</v>
      </c>
      <c r="B64" s="31">
        <v>46196.731226851902</v>
      </c>
      <c r="C64" s="31">
        <v>46196.732013888897</v>
      </c>
      <c r="D64" t="s">
        <v>43</v>
      </c>
      <c r="E64" s="56">
        <v>46186</v>
      </c>
      <c r="F64" t="s">
        <v>45</v>
      </c>
      <c r="G64" s="1">
        <v>18000000</v>
      </c>
      <c r="H64" s="1"/>
      <c r="I6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5" spans="1:9" customFormat="1" hidden="1">
      <c r="A65">
        <v>44</v>
      </c>
      <c r="B65" s="31">
        <v>46196.732499999998</v>
      </c>
      <c r="C65" s="31">
        <v>46196.732743055603</v>
      </c>
      <c r="D65" t="s">
        <v>43</v>
      </c>
      <c r="E65" s="56">
        <v>46187</v>
      </c>
      <c r="F65" t="s">
        <v>45</v>
      </c>
      <c r="G65" s="1">
        <v>14500000</v>
      </c>
      <c r="H65" s="1"/>
      <c r="I6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6" spans="1:9" customFormat="1" hidden="1">
      <c r="A66">
        <v>55</v>
      </c>
      <c r="B66" s="31">
        <v>46197.553194444401</v>
      </c>
      <c r="C66" s="31">
        <v>46197.5534722222</v>
      </c>
      <c r="D66" t="s">
        <v>43</v>
      </c>
      <c r="E66" s="56">
        <v>46187</v>
      </c>
      <c r="F66" t="s">
        <v>44</v>
      </c>
      <c r="G66" s="1">
        <v>11413000</v>
      </c>
      <c r="H66" s="1"/>
      <c r="I6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7" spans="1:9" customFormat="1" hidden="1">
      <c r="A67">
        <v>56</v>
      </c>
      <c r="B67" s="31">
        <v>46197.553506944401</v>
      </c>
      <c r="C67" s="31">
        <v>46197.553854166697</v>
      </c>
      <c r="D67" t="s">
        <v>43</v>
      </c>
      <c r="E67" s="56">
        <v>46190</v>
      </c>
      <c r="F67" t="s">
        <v>44</v>
      </c>
      <c r="G67" s="1">
        <v>15148990</v>
      </c>
      <c r="H67" s="1"/>
      <c r="I6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8" spans="1:9" customFormat="1" hidden="1">
      <c r="A68">
        <v>49</v>
      </c>
      <c r="B68" s="31">
        <v>46197.552418981497</v>
      </c>
      <c r="C68" s="31">
        <v>46197.552766203698</v>
      </c>
      <c r="D68" t="s">
        <v>43</v>
      </c>
      <c r="E68" s="56">
        <v>46191</v>
      </c>
      <c r="F68" t="s">
        <v>46</v>
      </c>
      <c r="G68" s="1">
        <v>19507140</v>
      </c>
      <c r="H68" s="1"/>
      <c r="I6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69" spans="1:9" customFormat="1" hidden="1">
      <c r="A69">
        <v>45</v>
      </c>
      <c r="B69" s="31">
        <v>46196.732905092598</v>
      </c>
      <c r="C69" s="31">
        <v>46196.733171296299</v>
      </c>
      <c r="D69" t="s">
        <v>43</v>
      </c>
      <c r="E69" s="56">
        <v>46192</v>
      </c>
      <c r="F69" t="s">
        <v>45</v>
      </c>
      <c r="G69" s="1">
        <v>19000000</v>
      </c>
      <c r="H69" s="1"/>
      <c r="I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0" spans="1:9" customFormat="1" hidden="1">
      <c r="A70">
        <v>53</v>
      </c>
      <c r="B70" s="31">
        <v>46197.552789351903</v>
      </c>
      <c r="C70" s="31">
        <v>46197.553182870397</v>
      </c>
      <c r="D70" t="s">
        <v>43</v>
      </c>
      <c r="E70" s="56">
        <v>46194</v>
      </c>
      <c r="F70" t="s">
        <v>46</v>
      </c>
      <c r="G70" s="1">
        <v>7270990</v>
      </c>
      <c r="H70" s="1"/>
      <c r="I7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1" spans="1:9" customFormat="1" hidden="1">
      <c r="A71">
        <v>54</v>
      </c>
      <c r="B71" s="31">
        <v>46197.5532060185</v>
      </c>
      <c r="C71" s="31">
        <v>46197.553460648203</v>
      </c>
      <c r="D71" t="s">
        <v>43</v>
      </c>
      <c r="E71" s="56">
        <v>46194</v>
      </c>
      <c r="F71" t="s">
        <v>46</v>
      </c>
      <c r="G71" s="1">
        <v>26733690</v>
      </c>
      <c r="H71" s="1"/>
      <c r="I7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2" spans="1:9" customFormat="1" hidden="1">
      <c r="A72">
        <v>46</v>
      </c>
      <c r="B72" s="31">
        <v>46196.733275462997</v>
      </c>
      <c r="C72" s="31">
        <v>46196.7334722222</v>
      </c>
      <c r="D72" t="s">
        <v>43</v>
      </c>
      <c r="E72" s="56">
        <v>46195</v>
      </c>
      <c r="F72" t="s">
        <v>45</v>
      </c>
      <c r="G72" s="1">
        <v>20200000</v>
      </c>
      <c r="H72" s="1"/>
      <c r="I7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3" spans="1:9" customFormat="1" hidden="1">
      <c r="A73">
        <v>57</v>
      </c>
      <c r="B73" s="31">
        <v>46197.553912037001</v>
      </c>
      <c r="C73" s="31">
        <v>46197.554131944402</v>
      </c>
      <c r="D73" t="s">
        <v>43</v>
      </c>
      <c r="E73" s="56">
        <v>46195</v>
      </c>
      <c r="F73" t="s">
        <v>44</v>
      </c>
      <c r="G73" s="1">
        <v>20399980</v>
      </c>
      <c r="H73" s="1"/>
      <c r="I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4" spans="1:9" customFormat="1" hidden="1">
      <c r="A74">
        <v>51</v>
      </c>
      <c r="B74" s="31">
        <v>46197.552326388897</v>
      </c>
      <c r="C74" s="31">
        <v>46197.552905092598</v>
      </c>
      <c r="D74" t="s">
        <v>43</v>
      </c>
      <c r="E74" s="56">
        <v>46196</v>
      </c>
      <c r="F74" t="s">
        <v>45</v>
      </c>
      <c r="G74" s="1">
        <v>12597000</v>
      </c>
      <c r="H74" s="1"/>
      <c r="I7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5" spans="1:9" customFormat="1" hidden="1">
      <c r="A75">
        <v>72</v>
      </c>
      <c r="B75" s="31">
        <v>46197.569756944402</v>
      </c>
      <c r="C75" s="31">
        <v>46197.5699537037</v>
      </c>
      <c r="D75" t="s">
        <v>43</v>
      </c>
      <c r="E75" s="56">
        <v>46198</v>
      </c>
      <c r="F75" t="s">
        <v>44</v>
      </c>
      <c r="G75" s="1">
        <v>16158990</v>
      </c>
      <c r="H75" s="1"/>
      <c r="I7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6" spans="1:9" customFormat="1" hidden="1">
      <c r="A76">
        <v>84</v>
      </c>
      <c r="B76" s="31">
        <v>46210.703252314801</v>
      </c>
      <c r="C76" s="31">
        <v>46210.703506944403</v>
      </c>
      <c r="D76" t="s">
        <v>43</v>
      </c>
      <c r="E76" s="56">
        <v>46200</v>
      </c>
      <c r="F76" t="s">
        <v>45</v>
      </c>
      <c r="G76" s="1">
        <v>5749000</v>
      </c>
      <c r="H76" s="1"/>
      <c r="I7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7" spans="1:9" customFormat="1" hidden="1">
      <c r="A77">
        <v>73</v>
      </c>
      <c r="B77" s="31">
        <v>46197.57</v>
      </c>
      <c r="C77" s="31">
        <v>46197.570138888899</v>
      </c>
      <c r="D77" t="s">
        <v>43</v>
      </c>
      <c r="E77" s="56">
        <v>46201</v>
      </c>
      <c r="F77" t="s">
        <v>44</v>
      </c>
      <c r="G77" s="1">
        <v>13130000</v>
      </c>
      <c r="H77" s="1"/>
      <c r="I7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8" spans="1:9" customFormat="1" hidden="1">
      <c r="A78">
        <v>83</v>
      </c>
      <c r="B78" s="31">
        <v>46210.702870370398</v>
      </c>
      <c r="C78" s="31">
        <v>46210.703206018501</v>
      </c>
      <c r="D78" t="s">
        <v>43</v>
      </c>
      <c r="E78" s="56">
        <v>46201</v>
      </c>
      <c r="F78" t="s">
        <v>45</v>
      </c>
      <c r="G78" s="1">
        <v>18348250</v>
      </c>
      <c r="H78" s="1"/>
      <c r="I7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79" spans="1:9" customFormat="1" hidden="1">
      <c r="A79">
        <v>85</v>
      </c>
      <c r="B79" s="31">
        <v>46210.7035300926</v>
      </c>
      <c r="C79" s="31">
        <v>46210.703761574099</v>
      </c>
      <c r="D79" t="s">
        <v>43</v>
      </c>
      <c r="E79" s="56">
        <v>46202</v>
      </c>
      <c r="F79" t="s">
        <v>45</v>
      </c>
      <c r="G79" s="1">
        <v>13498000</v>
      </c>
      <c r="H79" s="1"/>
      <c r="I7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0" spans="1:9" customFormat="1" hidden="1">
      <c r="A80">
        <v>76</v>
      </c>
      <c r="B80" s="31">
        <v>46206.498287037</v>
      </c>
      <c r="C80" s="31">
        <v>46206.4984722222</v>
      </c>
      <c r="D80" t="s">
        <v>43</v>
      </c>
      <c r="E80" s="56">
        <v>46205</v>
      </c>
      <c r="F80" t="s">
        <v>46</v>
      </c>
      <c r="G80" s="1">
        <v>12600000</v>
      </c>
      <c r="H80" s="1"/>
      <c r="I8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1" spans="1:9" customFormat="1" hidden="1">
      <c r="A81">
        <v>77</v>
      </c>
      <c r="B81" s="31">
        <v>46206.651828703703</v>
      </c>
      <c r="C81" s="31">
        <v>46206.652361111097</v>
      </c>
      <c r="D81" t="s">
        <v>47</v>
      </c>
      <c r="E81" s="56">
        <v>46205</v>
      </c>
      <c r="F81" t="s">
        <v>14</v>
      </c>
      <c r="G81" s="1">
        <v>31087000</v>
      </c>
      <c r="H81" s="1"/>
      <c r="I8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2" spans="1:9" customFormat="1" hidden="1">
      <c r="A82">
        <v>78</v>
      </c>
      <c r="B82" s="31">
        <v>46207.593136574098</v>
      </c>
      <c r="C82" s="31">
        <v>46207.5942939815</v>
      </c>
      <c r="D82" t="s">
        <v>43</v>
      </c>
      <c r="E82" s="56">
        <v>46205</v>
      </c>
      <c r="F82" t="s">
        <v>45</v>
      </c>
      <c r="G82" s="1">
        <v>22098000</v>
      </c>
      <c r="H82" s="1"/>
      <c r="I8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3" spans="1:9" customFormat="1" hidden="1">
      <c r="A83">
        <v>79</v>
      </c>
      <c r="B83" s="31">
        <v>46207.594351851803</v>
      </c>
      <c r="C83" s="31">
        <v>46207.594594907401</v>
      </c>
      <c r="D83" t="s">
        <v>43</v>
      </c>
      <c r="E83" s="56">
        <v>46206</v>
      </c>
      <c r="F83" t="s">
        <v>45</v>
      </c>
      <c r="G83" s="1">
        <v>16560400</v>
      </c>
      <c r="H83" s="1"/>
      <c r="I8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4" spans="1:9" customFormat="1" hidden="1">
      <c r="A84">
        <v>80</v>
      </c>
      <c r="B84" s="31">
        <v>46207.952083333301</v>
      </c>
      <c r="C84" s="31">
        <v>46207.952245370398</v>
      </c>
      <c r="D84" t="s">
        <v>43</v>
      </c>
      <c r="E84" s="56">
        <v>46207</v>
      </c>
      <c r="F84" t="s">
        <v>45</v>
      </c>
      <c r="G84" s="1">
        <v>8000000</v>
      </c>
      <c r="H84" s="1"/>
      <c r="I8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5" spans="1:9" customFormat="1" hidden="1">
      <c r="A85">
        <v>81</v>
      </c>
      <c r="B85" s="31">
        <v>46209.712650463</v>
      </c>
      <c r="C85" s="31">
        <v>46209.713252314803</v>
      </c>
      <c r="D85" t="s">
        <v>43</v>
      </c>
      <c r="E85" s="56">
        <v>46207</v>
      </c>
      <c r="F85" t="s">
        <v>46</v>
      </c>
      <c r="G85" s="1">
        <v>13189000</v>
      </c>
      <c r="H85" s="1"/>
      <c r="I8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6" spans="1:9" customFormat="1" hidden="1">
      <c r="A86">
        <v>82</v>
      </c>
      <c r="B86" s="31">
        <v>46210.487337963001</v>
      </c>
      <c r="C86" s="31">
        <v>46210.487546296303</v>
      </c>
      <c r="D86" t="s">
        <v>43</v>
      </c>
      <c r="E86" s="56">
        <v>46209</v>
      </c>
      <c r="F86" t="s">
        <v>45</v>
      </c>
      <c r="G86" s="1">
        <v>10000000</v>
      </c>
      <c r="H86" s="1"/>
      <c r="I8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7" spans="1:9" customFormat="1" hidden="1">
      <c r="A87">
        <v>86</v>
      </c>
      <c r="B87" s="31">
        <v>46212.959259259304</v>
      </c>
      <c r="C87" s="31">
        <v>46212.959467592598</v>
      </c>
      <c r="D87" t="s">
        <v>48</v>
      </c>
      <c r="E87" s="56">
        <v>46212</v>
      </c>
      <c r="F87" t="s">
        <v>15</v>
      </c>
      <c r="G87" s="1">
        <v>16439000</v>
      </c>
      <c r="H87" s="1"/>
      <c r="I8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8" spans="1:9" customFormat="1" hidden="1">
      <c r="A88">
        <v>87</v>
      </c>
      <c r="B88" s="31">
        <v>46213.434895833299</v>
      </c>
      <c r="C88" s="31">
        <v>46213.435138888897</v>
      </c>
      <c r="D88" t="s">
        <v>43</v>
      </c>
      <c r="E88" s="56">
        <v>46212</v>
      </c>
      <c r="F88" t="s">
        <v>45</v>
      </c>
      <c r="G88" s="1">
        <v>19813000</v>
      </c>
      <c r="H88" s="1"/>
      <c r="I8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89" spans="1:9" customFormat="1" hidden="1">
      <c r="A89">
        <v>88</v>
      </c>
      <c r="B89" s="31">
        <v>46213.854687500003</v>
      </c>
      <c r="C89" s="31">
        <v>46213.855150463001</v>
      </c>
      <c r="D89" t="s">
        <v>43</v>
      </c>
      <c r="E89" s="56">
        <v>46213</v>
      </c>
      <c r="F89" t="s">
        <v>49</v>
      </c>
      <c r="G89" s="1">
        <v>9900000</v>
      </c>
      <c r="H89" s="1"/>
      <c r="I8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0" spans="1:9" customFormat="1" hidden="1">
      <c r="A90">
        <v>89</v>
      </c>
      <c r="B90" s="31">
        <v>46213.914710648103</v>
      </c>
      <c r="C90" s="31">
        <v>46213.915046296301</v>
      </c>
      <c r="D90" t="s">
        <v>47</v>
      </c>
      <c r="E90" s="56">
        <v>46213</v>
      </c>
      <c r="F90" t="s">
        <v>14</v>
      </c>
      <c r="G90" s="1">
        <v>28389000</v>
      </c>
      <c r="H90" s="1"/>
      <c r="I9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1" spans="1:9" customFormat="1" hidden="1">
      <c r="A91">
        <v>90</v>
      </c>
      <c r="B91" s="31">
        <v>46213.915520833303</v>
      </c>
      <c r="C91" s="31">
        <v>46213.915879629603</v>
      </c>
      <c r="D91" t="s">
        <v>48</v>
      </c>
      <c r="E91" s="56">
        <v>46213</v>
      </c>
      <c r="F91" t="s">
        <v>15</v>
      </c>
      <c r="G91" s="1">
        <v>27597000</v>
      </c>
      <c r="H91" s="1"/>
      <c r="I9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2" spans="1:9" customFormat="1" hidden="1">
      <c r="A92">
        <v>91</v>
      </c>
      <c r="B92" s="31">
        <v>46214.3674537037</v>
      </c>
      <c r="C92" s="31">
        <v>46214.367696759298</v>
      </c>
      <c r="D92" t="s">
        <v>48</v>
      </c>
      <c r="E92" s="56">
        <v>46213</v>
      </c>
      <c r="F92" t="s">
        <v>15</v>
      </c>
      <c r="G92" s="1">
        <v>26499000</v>
      </c>
      <c r="H92" s="1"/>
      <c r="I9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3" spans="1:9" customFormat="1" hidden="1">
      <c r="A93">
        <v>92</v>
      </c>
      <c r="B93" s="31">
        <v>46215.969317129602</v>
      </c>
      <c r="C93" s="31">
        <v>46215.9696527778</v>
      </c>
      <c r="D93" t="s">
        <v>47</v>
      </c>
      <c r="E93" s="56">
        <v>46215</v>
      </c>
      <c r="F93" t="s">
        <v>14</v>
      </c>
      <c r="G93" s="1">
        <v>11969000</v>
      </c>
      <c r="H93" s="1"/>
      <c r="I9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4" spans="1:9" customFormat="1" hidden="1">
      <c r="A94">
        <v>93</v>
      </c>
      <c r="B94" s="31">
        <v>46215.971504629597</v>
      </c>
      <c r="C94" s="31">
        <v>46215.971782407403</v>
      </c>
      <c r="D94" t="s">
        <v>43</v>
      </c>
      <c r="E94" s="56">
        <v>46215</v>
      </c>
      <c r="F94" t="s">
        <v>49</v>
      </c>
      <c r="G94" s="1">
        <v>13493000</v>
      </c>
      <c r="H94" s="1"/>
      <c r="I9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5" spans="1:9" customFormat="1" hidden="1">
      <c r="A95">
        <v>94</v>
      </c>
      <c r="B95" s="31">
        <v>46216.514259259297</v>
      </c>
      <c r="C95" s="31">
        <v>46216.5145023148</v>
      </c>
      <c r="D95" t="s">
        <v>43</v>
      </c>
      <c r="E95" s="56">
        <v>46215</v>
      </c>
      <c r="F95" t="s">
        <v>45</v>
      </c>
      <c r="G95" s="1">
        <v>16048000</v>
      </c>
      <c r="H95" s="1"/>
      <c r="I9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6" spans="1:9" customFormat="1" hidden="1">
      <c r="A96">
        <v>107</v>
      </c>
      <c r="B96" s="31">
        <v>46223.624398148197</v>
      </c>
      <c r="C96" s="31">
        <v>46223.624560185199</v>
      </c>
      <c r="D96" t="s">
        <v>43</v>
      </c>
      <c r="E96" s="56">
        <v>46215</v>
      </c>
      <c r="F96" t="s">
        <v>45</v>
      </c>
      <c r="G96" s="1">
        <v>599000</v>
      </c>
      <c r="H96" s="1"/>
      <c r="I96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97" spans="1:9" customFormat="1" hidden="1">
      <c r="A97">
        <v>95</v>
      </c>
      <c r="B97" s="31">
        <v>46217.724571759303</v>
      </c>
      <c r="C97" s="31">
        <v>46217.724837962996</v>
      </c>
      <c r="D97" t="s">
        <v>43</v>
      </c>
      <c r="E97" s="56">
        <v>46217</v>
      </c>
      <c r="F97" t="s">
        <v>49</v>
      </c>
      <c r="G97" s="1">
        <v>10000000</v>
      </c>
      <c r="H97" s="1"/>
      <c r="I9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8" spans="1:9" customFormat="1" hidden="1">
      <c r="A98">
        <v>97</v>
      </c>
      <c r="B98" s="31">
        <v>46218.018738425897</v>
      </c>
      <c r="C98" s="31">
        <v>46218.018865740698</v>
      </c>
      <c r="D98" t="s">
        <v>43</v>
      </c>
      <c r="E98" s="56">
        <v>46217</v>
      </c>
      <c r="F98" t="s">
        <v>45</v>
      </c>
      <c r="G98" s="1">
        <v>17999000</v>
      </c>
      <c r="H98" s="1"/>
      <c r="I9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99" spans="1:9" customFormat="1" hidden="1">
      <c r="A99">
        <v>98</v>
      </c>
      <c r="B99" s="31">
        <v>46218.933877314797</v>
      </c>
      <c r="C99" s="31">
        <v>46218.934351851902</v>
      </c>
      <c r="D99" t="s">
        <v>47</v>
      </c>
      <c r="E99" s="56">
        <v>46217</v>
      </c>
      <c r="F99" t="s">
        <v>14</v>
      </c>
      <c r="G99" s="1">
        <v>9438000</v>
      </c>
      <c r="H99" s="1"/>
      <c r="I9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0" spans="1:9" customFormat="1" hidden="1">
      <c r="A100">
        <v>108</v>
      </c>
      <c r="B100" s="31">
        <v>46223.625324074099</v>
      </c>
      <c r="C100" s="31">
        <v>46223.625787037003</v>
      </c>
      <c r="D100" t="s">
        <v>43</v>
      </c>
      <c r="E100" s="56">
        <v>46218</v>
      </c>
      <c r="F100" t="s">
        <v>45</v>
      </c>
      <c r="G100" s="1">
        <v>2949000</v>
      </c>
      <c r="H100" s="1"/>
      <c r="I100" t="str">
        <f>IF(OR(Table1[[#This Row],[Amount]]="", ISBLANK(Table1[[#This Row],[Amount]])), "", IFERROR(LOOKUP(Table1[[#This Row],[Amount]], {0;2500000;2500001;5000001}, {"Tier 0";"Tier 1";"Tier 2";"Tier 3"}), ""))</f>
        <v>Tier 2</v>
      </c>
    </row>
    <row r="101" spans="1:9" customFormat="1" hidden="1">
      <c r="A101">
        <v>99</v>
      </c>
      <c r="B101" s="31">
        <v>46220.909340277802</v>
      </c>
      <c r="C101" s="31">
        <v>46220.909456018497</v>
      </c>
      <c r="D101" t="s">
        <v>48</v>
      </c>
      <c r="E101" s="56">
        <v>46220</v>
      </c>
      <c r="F101" t="s">
        <v>15</v>
      </c>
      <c r="G101" s="1">
        <v>17999000</v>
      </c>
      <c r="H101" s="1"/>
      <c r="I10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2" spans="1:9" customFormat="1" hidden="1">
      <c r="A102">
        <v>101</v>
      </c>
      <c r="B102" s="31">
        <v>46221.943263888897</v>
      </c>
      <c r="C102" s="31">
        <v>46221.943495370397</v>
      </c>
      <c r="D102" t="s">
        <v>43</v>
      </c>
      <c r="E102" s="56">
        <v>46221</v>
      </c>
      <c r="F102" t="s">
        <v>46</v>
      </c>
      <c r="G102" s="1">
        <v>24400000</v>
      </c>
      <c r="H102" s="1"/>
      <c r="I10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3" spans="1:9" customFormat="1" hidden="1">
      <c r="A103">
        <v>102</v>
      </c>
      <c r="B103" s="31">
        <v>46221.989907407398</v>
      </c>
      <c r="C103" s="31">
        <v>46221.9903009259</v>
      </c>
      <c r="D103" t="s">
        <v>43</v>
      </c>
      <c r="E103" s="56">
        <v>46221</v>
      </c>
      <c r="F103" t="s">
        <v>49</v>
      </c>
      <c r="G103" s="1">
        <v>10000000</v>
      </c>
      <c r="H103" s="1"/>
      <c r="I10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4" spans="1:9" customFormat="1" hidden="1">
      <c r="A104">
        <v>106</v>
      </c>
      <c r="B104" s="31">
        <v>46223.621006944399</v>
      </c>
      <c r="C104" s="31">
        <v>46223.621307870402</v>
      </c>
      <c r="D104" t="s">
        <v>47</v>
      </c>
      <c r="E104" s="56">
        <v>46221</v>
      </c>
      <c r="F104" t="s">
        <v>14</v>
      </c>
      <c r="G104" s="1">
        <v>15909000</v>
      </c>
      <c r="H104" s="1"/>
      <c r="I10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5" spans="1:9" customFormat="1" hidden="1">
      <c r="A105">
        <v>103</v>
      </c>
      <c r="B105" s="31">
        <v>46223.511296296303</v>
      </c>
      <c r="C105" s="31">
        <v>46223.511666666702</v>
      </c>
      <c r="D105" t="s">
        <v>43</v>
      </c>
      <c r="E105" s="56">
        <v>46222</v>
      </c>
      <c r="F105" t="s">
        <v>46</v>
      </c>
      <c r="G105" s="1">
        <v>22250000</v>
      </c>
      <c r="H105" s="1"/>
      <c r="I10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6" spans="1:9" customFormat="1" hidden="1">
      <c r="A106">
        <v>104</v>
      </c>
      <c r="B106" s="31">
        <v>46223.511724536998</v>
      </c>
      <c r="C106" s="31">
        <v>46223.512002314797</v>
      </c>
      <c r="D106" t="s">
        <v>43</v>
      </c>
      <c r="E106" s="56">
        <v>46222</v>
      </c>
      <c r="F106" t="s">
        <v>46</v>
      </c>
      <c r="G106" s="1">
        <v>12998000</v>
      </c>
      <c r="H106" s="1"/>
      <c r="I10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7" spans="1:9" customFormat="1" hidden="1">
      <c r="A107">
        <v>117</v>
      </c>
      <c r="B107" s="31">
        <v>46229.767500000002</v>
      </c>
      <c r="C107" s="31">
        <v>46229.767962963</v>
      </c>
      <c r="D107" t="s">
        <v>43</v>
      </c>
      <c r="E107" s="56">
        <v>46222</v>
      </c>
      <c r="F107" t="s">
        <v>46</v>
      </c>
      <c r="G107" s="1">
        <v>25000000</v>
      </c>
      <c r="H107" s="1"/>
      <c r="I10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8" spans="1:9" customFormat="1" hidden="1">
      <c r="A108">
        <v>105</v>
      </c>
      <c r="B108" s="31">
        <v>46223.512025463002</v>
      </c>
      <c r="C108" s="31">
        <v>46223.512303240699</v>
      </c>
      <c r="D108" t="s">
        <v>43</v>
      </c>
      <c r="E108" s="56">
        <v>46223</v>
      </c>
      <c r="F108" t="s">
        <v>46</v>
      </c>
      <c r="G108" s="1">
        <v>18100000</v>
      </c>
      <c r="H108" s="1"/>
      <c r="I10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09" spans="1:9" customFormat="1" hidden="1">
      <c r="A109">
        <v>109</v>
      </c>
      <c r="B109" s="31">
        <v>46223.83</v>
      </c>
      <c r="C109" s="31">
        <v>46223.830266203702</v>
      </c>
      <c r="D109" t="s">
        <v>43</v>
      </c>
      <c r="E109" s="56">
        <v>46223</v>
      </c>
      <c r="F109" t="s">
        <v>49</v>
      </c>
      <c r="G109" s="1">
        <v>20000000</v>
      </c>
      <c r="H109" s="1"/>
      <c r="I10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0" spans="1:9" customFormat="1" hidden="1">
      <c r="A110">
        <v>118</v>
      </c>
      <c r="B110" s="31">
        <v>46229.768483796302</v>
      </c>
      <c r="C110" s="31">
        <v>46229.768923611096</v>
      </c>
      <c r="D110" t="s">
        <v>43</v>
      </c>
      <c r="E110" s="56">
        <v>46223</v>
      </c>
      <c r="F110" t="s">
        <v>46</v>
      </c>
      <c r="G110" s="1">
        <v>9150000</v>
      </c>
      <c r="H110" s="1"/>
      <c r="I11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1" spans="1:9" customFormat="1" hidden="1">
      <c r="A111">
        <v>119</v>
      </c>
      <c r="B111" s="31">
        <v>46229.768958333298</v>
      </c>
      <c r="C111" s="31">
        <v>46229.769317129598</v>
      </c>
      <c r="D111" t="s">
        <v>43</v>
      </c>
      <c r="E111" s="56">
        <v>46224</v>
      </c>
      <c r="F111" t="s">
        <v>46</v>
      </c>
      <c r="G111" s="1">
        <v>8000000</v>
      </c>
      <c r="H111" s="1"/>
      <c r="I11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2" spans="1:9" customFormat="1" hidden="1">
      <c r="A112">
        <v>110</v>
      </c>
      <c r="B112" s="31">
        <v>46226.932731481502</v>
      </c>
      <c r="C112" s="31">
        <v>46226.933194444398</v>
      </c>
      <c r="D112" t="s">
        <v>43</v>
      </c>
      <c r="E112" s="56">
        <v>46226</v>
      </c>
      <c r="F112" t="s">
        <v>49</v>
      </c>
      <c r="G112" s="1">
        <v>18498000</v>
      </c>
      <c r="H112" s="1"/>
      <c r="I11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3" spans="1:9" customFormat="1" hidden="1">
      <c r="A113">
        <v>120</v>
      </c>
      <c r="B113" s="31">
        <v>46229.769351851799</v>
      </c>
      <c r="C113" s="31">
        <v>46229.769884259302</v>
      </c>
      <c r="D113" t="s">
        <v>43</v>
      </c>
      <c r="E113" s="56">
        <v>46227</v>
      </c>
      <c r="F113" t="s">
        <v>46</v>
      </c>
      <c r="G113" s="1">
        <v>13814000</v>
      </c>
      <c r="H113" s="1"/>
      <c r="I11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4" spans="1:9" customFormat="1" hidden="1">
      <c r="A114">
        <v>111</v>
      </c>
      <c r="B114" s="31">
        <v>46228.895138888904</v>
      </c>
      <c r="C114" s="31">
        <v>46228.896099537</v>
      </c>
      <c r="D114" t="s">
        <v>47</v>
      </c>
      <c r="E114" s="56">
        <v>46228</v>
      </c>
      <c r="F114" t="s">
        <v>14</v>
      </c>
      <c r="G114" s="1">
        <v>16464000</v>
      </c>
      <c r="H114" s="1"/>
      <c r="I114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5" spans="1:9" customFormat="1" hidden="1">
      <c r="A115">
        <v>112</v>
      </c>
      <c r="B115" s="31">
        <v>46228.896932870397</v>
      </c>
      <c r="C115" s="31">
        <v>46228.897326388898</v>
      </c>
      <c r="D115" t="s">
        <v>47</v>
      </c>
      <c r="E115" s="56">
        <v>46228</v>
      </c>
      <c r="F115" t="s">
        <v>14</v>
      </c>
      <c r="G115" s="1">
        <v>6314000</v>
      </c>
      <c r="H115" s="1"/>
      <c r="I115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6" spans="1:9" customFormat="1" hidden="1">
      <c r="A116">
        <v>113</v>
      </c>
      <c r="B116" s="31">
        <v>46229.757245370398</v>
      </c>
      <c r="C116" s="31">
        <v>46229.757627314801</v>
      </c>
      <c r="D116" t="s">
        <v>43</v>
      </c>
      <c r="E116" s="56">
        <v>46229</v>
      </c>
      <c r="F116" t="s">
        <v>49</v>
      </c>
      <c r="G116" s="1">
        <v>9898000</v>
      </c>
      <c r="H116" s="1"/>
      <c r="I116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7" spans="1:9" customFormat="1" hidden="1">
      <c r="A117">
        <v>114</v>
      </c>
      <c r="B117" s="31">
        <v>46229.757754629602</v>
      </c>
      <c r="C117" s="31">
        <v>46229.757986111101</v>
      </c>
      <c r="D117" t="s">
        <v>43</v>
      </c>
      <c r="E117" s="56">
        <v>46229</v>
      </c>
      <c r="F117" t="s">
        <v>49</v>
      </c>
      <c r="G117" s="1">
        <v>19898000</v>
      </c>
      <c r="H117" s="1"/>
      <c r="I117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8" spans="1:9" customFormat="1" hidden="1">
      <c r="A118">
        <v>121</v>
      </c>
      <c r="B118" s="31">
        <v>46229.769918981503</v>
      </c>
      <c r="C118" s="31">
        <v>46229.770486111098</v>
      </c>
      <c r="D118" t="s">
        <v>43</v>
      </c>
      <c r="E118" s="56">
        <v>46229</v>
      </c>
      <c r="F118" t="s">
        <v>46</v>
      </c>
      <c r="G118" s="1">
        <v>17999000</v>
      </c>
      <c r="H118" s="1"/>
      <c r="I118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19" spans="1:9" customFormat="1" hidden="1">
      <c r="A119">
        <v>122</v>
      </c>
      <c r="B119" s="31">
        <v>46229.770543981504</v>
      </c>
      <c r="C119" s="31">
        <v>46229.770856481497</v>
      </c>
      <c r="D119" t="s">
        <v>43</v>
      </c>
      <c r="E119" s="56">
        <v>46229</v>
      </c>
      <c r="F119" t="s">
        <v>46</v>
      </c>
      <c r="G119" s="1">
        <v>21800000</v>
      </c>
      <c r="H119" s="1"/>
      <c r="I11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0" spans="1:9" customFormat="1" hidden="1">
      <c r="A120">
        <v>123</v>
      </c>
      <c r="B120" s="31">
        <v>46233.007395833301</v>
      </c>
      <c r="C120" s="31">
        <v>46233.008414351803</v>
      </c>
      <c r="D120" t="s">
        <v>43</v>
      </c>
      <c r="E120" s="56">
        <v>46232</v>
      </c>
      <c r="F120" t="s">
        <v>9</v>
      </c>
      <c r="G120" s="1">
        <v>7314000</v>
      </c>
      <c r="H120" s="1"/>
      <c r="I120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1" spans="1:9" customFormat="1" hidden="1">
      <c r="A121">
        <v>124</v>
      </c>
      <c r="B121" s="31">
        <v>46234.917187500003</v>
      </c>
      <c r="C121" s="31">
        <v>46234.918344907397</v>
      </c>
      <c r="D121" t="s">
        <v>43</v>
      </c>
      <c r="E121" s="56">
        <v>46234</v>
      </c>
      <c r="F121" t="s">
        <v>46</v>
      </c>
      <c r="G121" s="1">
        <v>18314000</v>
      </c>
      <c r="H121" s="1"/>
      <c r="I121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2" spans="1:9" customFormat="1" hidden="1">
      <c r="A122">
        <v>125</v>
      </c>
      <c r="B122" s="31">
        <v>46234.9197569444</v>
      </c>
      <c r="C122" s="31">
        <v>46234.919965277797</v>
      </c>
      <c r="D122" t="s">
        <v>47</v>
      </c>
      <c r="E122" s="56">
        <v>46233</v>
      </c>
      <c r="F122" t="s">
        <v>14</v>
      </c>
      <c r="G122" s="1">
        <v>14439000</v>
      </c>
      <c r="H122" s="1"/>
      <c r="I122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3" spans="1:9">
      <c r="A123">
        <v>126</v>
      </c>
      <c r="B123" s="31">
        <v>46235.894525463002</v>
      </c>
      <c r="C123" s="31">
        <v>46235.894895833299</v>
      </c>
      <c r="D123" t="s">
        <v>43</v>
      </c>
      <c r="E123" s="55">
        <v>46235</v>
      </c>
      <c r="F123" t="s">
        <v>9</v>
      </c>
      <c r="G123" s="1">
        <v>12500000</v>
      </c>
      <c r="H123">
        <v>1</v>
      </c>
      <c r="I123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4" spans="1:9">
      <c r="A124">
        <v>127</v>
      </c>
      <c r="B124" s="31">
        <v>46235.903379629599</v>
      </c>
      <c r="C124" s="31">
        <v>46235.903576388897</v>
      </c>
      <c r="D124" t="s">
        <v>47</v>
      </c>
      <c r="E124" s="55">
        <v>46235</v>
      </c>
      <c r="F124" t="s">
        <v>14</v>
      </c>
      <c r="G124" s="1">
        <v>18888000</v>
      </c>
      <c r="H124">
        <v>1</v>
      </c>
      <c r="I124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5" spans="1:9">
      <c r="A125">
        <v>129</v>
      </c>
      <c r="B125" s="31">
        <v>46237.791099536997</v>
      </c>
      <c r="C125" s="31">
        <v>46237.791516203702</v>
      </c>
      <c r="D125" t="s">
        <v>43</v>
      </c>
      <c r="E125" s="55">
        <v>46235</v>
      </c>
      <c r="F125" t="s">
        <v>49</v>
      </c>
      <c r="G125" s="1">
        <v>16463000</v>
      </c>
      <c r="H125">
        <v>1</v>
      </c>
      <c r="I125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6" spans="1:9">
      <c r="A126">
        <v>139</v>
      </c>
      <c r="B126" s="31">
        <v>46245.5563541667</v>
      </c>
      <c r="C126" s="31">
        <v>46245.556585648097</v>
      </c>
      <c r="D126" t="s">
        <v>43</v>
      </c>
      <c r="E126" s="55">
        <v>46235</v>
      </c>
      <c r="F126" t="s">
        <v>49</v>
      </c>
      <c r="G126" s="1">
        <v>16300000</v>
      </c>
      <c r="H126" s="1">
        <v>1</v>
      </c>
      <c r="I126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7" spans="1:9">
      <c r="A127">
        <v>141</v>
      </c>
      <c r="B127" s="31">
        <v>46245.568958333301</v>
      </c>
      <c r="C127" s="31">
        <v>46245.569270833301</v>
      </c>
      <c r="D127" t="s">
        <v>48</v>
      </c>
      <c r="E127" s="55">
        <v>46236</v>
      </c>
      <c r="F127" t="s">
        <v>15</v>
      </c>
      <c r="G127" s="1">
        <v>16314000</v>
      </c>
      <c r="H127" s="1">
        <v>1</v>
      </c>
      <c r="I127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8" spans="1:9">
      <c r="A128">
        <v>128</v>
      </c>
      <c r="B128" s="31">
        <v>46237.790555555599</v>
      </c>
      <c r="C128" s="31">
        <v>46237.7909953704</v>
      </c>
      <c r="D128" t="s">
        <v>43</v>
      </c>
      <c r="E128" s="55">
        <v>46237</v>
      </c>
      <c r="F128" t="s">
        <v>49</v>
      </c>
      <c r="G128" s="1">
        <v>14564000</v>
      </c>
      <c r="H128">
        <v>1</v>
      </c>
      <c r="I128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29" spans="1:9">
      <c r="A129">
        <v>130</v>
      </c>
      <c r="B129" s="31">
        <v>46237.892303240696</v>
      </c>
      <c r="C129" s="31">
        <v>46237.892569444397</v>
      </c>
      <c r="D129" t="s">
        <v>48</v>
      </c>
      <c r="E129" s="55">
        <v>46237</v>
      </c>
      <c r="F129" t="s">
        <v>15</v>
      </c>
      <c r="G129" s="1">
        <v>16314000</v>
      </c>
      <c r="H129">
        <v>1</v>
      </c>
      <c r="I129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0" spans="1:9">
      <c r="A130">
        <v>131</v>
      </c>
      <c r="B130" s="31">
        <v>46238.429004629601</v>
      </c>
      <c r="C130" s="31">
        <v>46238.429571759298</v>
      </c>
      <c r="D130" t="s">
        <v>43</v>
      </c>
      <c r="E130" s="55">
        <v>46237</v>
      </c>
      <c r="F130" t="s">
        <v>9</v>
      </c>
      <c r="G130" s="1">
        <v>16498000</v>
      </c>
      <c r="H130">
        <v>1</v>
      </c>
      <c r="I130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1" spans="1:9">
      <c r="A131">
        <v>132</v>
      </c>
      <c r="B131" s="31">
        <v>46238.759236111102</v>
      </c>
      <c r="C131" s="31">
        <v>46238.759421296301</v>
      </c>
      <c r="D131" t="s">
        <v>47</v>
      </c>
      <c r="E131" s="55">
        <v>46238</v>
      </c>
      <c r="F131" t="s">
        <v>14</v>
      </c>
      <c r="G131" s="1">
        <v>16314000</v>
      </c>
      <c r="H131">
        <v>1</v>
      </c>
      <c r="I131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2" spans="1:9">
      <c r="A132">
        <v>133</v>
      </c>
      <c r="B132" s="31">
        <v>46239.459537037001</v>
      </c>
      <c r="C132" s="31">
        <v>46239.460949074099</v>
      </c>
      <c r="D132" t="s">
        <v>47</v>
      </c>
      <c r="E132" s="55">
        <v>46238</v>
      </c>
      <c r="F132" t="s">
        <v>14</v>
      </c>
      <c r="G132" s="1">
        <v>15768000</v>
      </c>
      <c r="H132">
        <v>1</v>
      </c>
      <c r="I132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3" spans="1:9">
      <c r="A133">
        <v>134</v>
      </c>
      <c r="B133" s="31">
        <v>46239.4610300926</v>
      </c>
      <c r="C133" s="31">
        <v>46239.4613425926</v>
      </c>
      <c r="D133" t="s">
        <v>48</v>
      </c>
      <c r="E133" s="55">
        <v>46238</v>
      </c>
      <c r="F133" t="s">
        <v>15</v>
      </c>
      <c r="G133" s="1">
        <v>18939000</v>
      </c>
      <c r="H133">
        <v>1</v>
      </c>
      <c r="I133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4" spans="1:9">
      <c r="A134">
        <v>136</v>
      </c>
      <c r="B134" s="31">
        <v>46239.884317129603</v>
      </c>
      <c r="C134" s="31">
        <v>46239.884756944397</v>
      </c>
      <c r="D134" t="s">
        <v>43</v>
      </c>
      <c r="E134" s="55">
        <v>46239</v>
      </c>
      <c r="F134" t="s">
        <v>49</v>
      </c>
      <c r="G134" s="1">
        <v>13685500</v>
      </c>
      <c r="H134">
        <v>1</v>
      </c>
      <c r="I134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5" spans="1:9">
      <c r="A135">
        <v>137</v>
      </c>
      <c r="B135" s="31">
        <v>46242.841134259303</v>
      </c>
      <c r="C135" s="31">
        <v>46242.841469907398</v>
      </c>
      <c r="D135" t="s">
        <v>43</v>
      </c>
      <c r="E135" s="55">
        <v>46242</v>
      </c>
      <c r="F135" t="s">
        <v>49</v>
      </c>
      <c r="G135" s="1">
        <v>10908000</v>
      </c>
      <c r="H135">
        <v>1</v>
      </c>
      <c r="I135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6" spans="1:9">
      <c r="A136">
        <v>138</v>
      </c>
      <c r="B136" s="31">
        <v>46243.775520833296</v>
      </c>
      <c r="C136" s="31">
        <v>46243.775752314803</v>
      </c>
      <c r="D136" t="s">
        <v>43</v>
      </c>
      <c r="E136" s="55">
        <v>46243</v>
      </c>
      <c r="F136" t="s">
        <v>49</v>
      </c>
      <c r="G136" s="1">
        <v>27076080</v>
      </c>
      <c r="H136">
        <v>1</v>
      </c>
      <c r="I136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7" spans="1:9">
      <c r="A137">
        <v>140</v>
      </c>
      <c r="B137" s="31">
        <v>46245.561168981498</v>
      </c>
      <c r="C137" s="31">
        <v>46245.561354166697</v>
      </c>
      <c r="D137" t="s">
        <v>43</v>
      </c>
      <c r="E137" s="55">
        <v>46244</v>
      </c>
      <c r="F137" t="s">
        <v>9</v>
      </c>
      <c r="G137" s="1">
        <v>12999000</v>
      </c>
      <c r="H137" s="1">
        <v>1</v>
      </c>
      <c r="I137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8" spans="1:9">
      <c r="A138">
        <v>142</v>
      </c>
      <c r="B138" s="31">
        <v>46247.637870370403</v>
      </c>
      <c r="C138" s="31">
        <v>46247.638252314799</v>
      </c>
      <c r="D138" t="s">
        <v>43</v>
      </c>
      <c r="E138" s="56">
        <v>46247</v>
      </c>
      <c r="F138" t="s">
        <v>49</v>
      </c>
      <c r="G138" s="1">
        <v>14500000</v>
      </c>
      <c r="H138" s="1">
        <v>1</v>
      </c>
      <c r="I138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39" spans="1:9">
      <c r="A139">
        <v>143</v>
      </c>
      <c r="B139" s="31">
        <v>46247.889039351903</v>
      </c>
      <c r="C139" s="31">
        <v>46247.889259259297</v>
      </c>
      <c r="D139" t="s">
        <v>43</v>
      </c>
      <c r="E139" s="56">
        <v>46238</v>
      </c>
      <c r="F139" t="s">
        <v>49</v>
      </c>
      <c r="G139" s="1">
        <v>11700000</v>
      </c>
      <c r="H139" s="1">
        <v>1</v>
      </c>
      <c r="I139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0" spans="1:9">
      <c r="A140">
        <v>144</v>
      </c>
      <c r="B140" s="31">
        <v>46247.926828703698</v>
      </c>
      <c r="C140" s="31">
        <v>46247.927164351902</v>
      </c>
      <c r="D140" t="s">
        <v>48</v>
      </c>
      <c r="E140" s="56">
        <v>46247</v>
      </c>
      <c r="F140" t="s">
        <v>15</v>
      </c>
      <c r="G140" s="1">
        <v>5000000</v>
      </c>
      <c r="H140" s="1">
        <v>1</v>
      </c>
      <c r="I140" s="69" t="str">
        <f>IF(OR(Table1[[#This Row],[Amount]]="", ISBLANK(Table1[[#This Row],[Amount]])), "", IFERROR(LOOKUP(Table1[[#This Row],[Amount]], {0;2500000;2500001;5000001}, {"Tier 0";"Tier 1";"Tier 2";"Tier 3"}), ""))</f>
        <v>Tier 2</v>
      </c>
    </row>
    <row r="141" spans="1:9">
      <c r="A141">
        <v>145</v>
      </c>
      <c r="B141" s="31">
        <v>46248.910821759302</v>
      </c>
      <c r="C141" s="31">
        <v>46248.910983796297</v>
      </c>
      <c r="D141" t="s">
        <v>48</v>
      </c>
      <c r="E141" s="56">
        <v>46248</v>
      </c>
      <c r="F141" t="s">
        <v>15</v>
      </c>
      <c r="G141" s="1">
        <v>22999000</v>
      </c>
      <c r="H141" s="1">
        <v>1</v>
      </c>
      <c r="I141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2" spans="1:9">
      <c r="A142">
        <v>146</v>
      </c>
      <c r="B142" s="31">
        <v>46249.934259259302</v>
      </c>
      <c r="C142" s="31">
        <v>46249.934456018498</v>
      </c>
      <c r="D142" t="s">
        <v>48</v>
      </c>
      <c r="E142" s="56">
        <v>46249</v>
      </c>
      <c r="F142" t="s">
        <v>15</v>
      </c>
      <c r="G142" s="1">
        <v>14999000</v>
      </c>
      <c r="H142" s="1">
        <v>1</v>
      </c>
      <c r="I142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3" spans="1:9">
      <c r="A143">
        <v>147</v>
      </c>
      <c r="B143" s="31">
        <v>46250.5097453704</v>
      </c>
      <c r="C143" s="31">
        <v>46250.510162036997</v>
      </c>
      <c r="D143" t="s">
        <v>47</v>
      </c>
      <c r="E143" s="56">
        <v>46250</v>
      </c>
      <c r="F143" t="s">
        <v>14</v>
      </c>
      <c r="G143" s="1">
        <v>16389000</v>
      </c>
      <c r="H143" s="1">
        <v>1</v>
      </c>
      <c r="I143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4" spans="1:9">
      <c r="A144">
        <v>148</v>
      </c>
      <c r="B144" s="31">
        <v>46250.547384259298</v>
      </c>
      <c r="C144" s="31">
        <v>46250.548032407401</v>
      </c>
      <c r="D144" t="s">
        <v>43</v>
      </c>
      <c r="E144" s="56">
        <v>46250</v>
      </c>
      <c r="F144" t="s">
        <v>10</v>
      </c>
      <c r="G144" s="1">
        <v>8099000</v>
      </c>
      <c r="H144" s="1">
        <v>1</v>
      </c>
      <c r="I144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5" spans="1:9">
      <c r="A145">
        <v>149</v>
      </c>
      <c r="B145" s="31">
        <v>46250.549745370401</v>
      </c>
      <c r="C145" s="31">
        <v>46250.550243055601</v>
      </c>
      <c r="D145" t="s">
        <v>43</v>
      </c>
      <c r="E145" s="56">
        <v>46250</v>
      </c>
      <c r="F145" t="s">
        <v>49</v>
      </c>
      <c r="G145" s="1">
        <v>33400000</v>
      </c>
      <c r="H145" s="1">
        <v>3</v>
      </c>
      <c r="I145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6" spans="1:9">
      <c r="A146">
        <v>150</v>
      </c>
      <c r="B146" s="31">
        <v>46250.569560185198</v>
      </c>
      <c r="C146" s="31">
        <v>46250.569976851897</v>
      </c>
      <c r="D146" t="s">
        <v>47</v>
      </c>
      <c r="E146" s="56">
        <v>46250</v>
      </c>
      <c r="F146" t="s">
        <v>14</v>
      </c>
      <c r="G146" s="1">
        <v>13809000</v>
      </c>
      <c r="H146" s="1">
        <v>1</v>
      </c>
      <c r="I146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7" spans="1:9">
      <c r="A147">
        <v>151</v>
      </c>
      <c r="B147" s="31">
        <v>46251.7163657407</v>
      </c>
      <c r="C147" s="31">
        <v>46251.720393518503</v>
      </c>
      <c r="D147" t="s">
        <v>43</v>
      </c>
      <c r="E147" s="56">
        <v>46251</v>
      </c>
      <c r="F147" t="s">
        <v>10</v>
      </c>
      <c r="G147" s="1">
        <v>10908000</v>
      </c>
      <c r="H147" s="1">
        <v>1</v>
      </c>
      <c r="I147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8" spans="1:9">
      <c r="A148">
        <v>152</v>
      </c>
      <c r="B148" s="31">
        <v>46251.897337962997</v>
      </c>
      <c r="C148" s="31">
        <v>46251.8976273148</v>
      </c>
      <c r="D148" t="s">
        <v>43</v>
      </c>
      <c r="E148" s="56">
        <v>46251</v>
      </c>
      <c r="F148" t="s">
        <v>49</v>
      </c>
      <c r="G148" s="1">
        <v>14450000</v>
      </c>
      <c r="H148" s="1">
        <v>1</v>
      </c>
      <c r="I148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49" spans="1:9">
      <c r="A149">
        <v>153</v>
      </c>
      <c r="B149" s="31">
        <v>46252.910104166702</v>
      </c>
      <c r="C149" s="31">
        <v>46252.910462963002</v>
      </c>
      <c r="D149" t="s">
        <v>43</v>
      </c>
      <c r="E149" s="56">
        <v>46252</v>
      </c>
      <c r="F149" t="s">
        <v>49</v>
      </c>
      <c r="G149" s="1">
        <v>8999000</v>
      </c>
      <c r="H149" s="1">
        <v>1</v>
      </c>
      <c r="I149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0" spans="1:9">
      <c r="A150">
        <v>154</v>
      </c>
      <c r="B150" s="31">
        <v>46253.739965277797</v>
      </c>
      <c r="C150" s="31">
        <v>46253.740312499998</v>
      </c>
      <c r="D150" t="s">
        <v>43</v>
      </c>
      <c r="E150" s="56">
        <v>46253</v>
      </c>
      <c r="F150" t="s">
        <v>9</v>
      </c>
      <c r="G150" s="1">
        <v>13500000</v>
      </c>
      <c r="H150" s="1">
        <v>1</v>
      </c>
      <c r="I150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1" spans="1:9">
      <c r="A151">
        <v>155</v>
      </c>
      <c r="B151" s="31">
        <v>46255.887442129599</v>
      </c>
      <c r="C151" s="31">
        <v>46255.889687499999</v>
      </c>
      <c r="D151" t="s">
        <v>43</v>
      </c>
      <c r="E151" s="56">
        <v>46255</v>
      </c>
      <c r="F151" t="s">
        <v>10</v>
      </c>
      <c r="G151" s="1">
        <v>14594500</v>
      </c>
      <c r="H151" s="1">
        <v>1</v>
      </c>
      <c r="I151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2" spans="1:9">
      <c r="A152">
        <v>156</v>
      </c>
      <c r="B152" s="31">
        <v>46256.649861111102</v>
      </c>
      <c r="C152" s="31">
        <v>46256.650312500002</v>
      </c>
      <c r="D152" t="s">
        <v>25</v>
      </c>
      <c r="E152" s="56">
        <v>46256</v>
      </c>
      <c r="F152" t="s">
        <v>32</v>
      </c>
      <c r="G152" s="1">
        <v>8340000</v>
      </c>
      <c r="H152" s="1">
        <v>1</v>
      </c>
      <c r="I152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3" spans="1:9">
      <c r="A153">
        <v>157</v>
      </c>
      <c r="B153" s="31">
        <v>46256.881030092598</v>
      </c>
      <c r="C153" s="31">
        <v>46256.8819560185</v>
      </c>
      <c r="D153" t="s">
        <v>48</v>
      </c>
      <c r="E153" s="56">
        <v>46255</v>
      </c>
      <c r="F153" t="s">
        <v>15</v>
      </c>
      <c r="G153" s="1">
        <v>14659000</v>
      </c>
      <c r="H153" s="1">
        <v>1</v>
      </c>
      <c r="I153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4" spans="1:9">
      <c r="A154">
        <v>158</v>
      </c>
      <c r="B154" s="31">
        <v>46256.884814814803</v>
      </c>
      <c r="C154" s="31">
        <v>46256.885115740697</v>
      </c>
      <c r="D154" t="s">
        <v>47</v>
      </c>
      <c r="E154" s="56">
        <v>46256</v>
      </c>
      <c r="F154" t="s">
        <v>14</v>
      </c>
      <c r="G154" s="1">
        <v>8199000</v>
      </c>
      <c r="H154" s="1">
        <v>1</v>
      </c>
      <c r="I154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5" spans="1:9">
      <c r="A155">
        <v>159</v>
      </c>
      <c r="B155" s="31">
        <v>46256.885543981502</v>
      </c>
      <c r="C155" s="31">
        <v>46256.886087963001</v>
      </c>
      <c r="D155" t="s">
        <v>25</v>
      </c>
      <c r="E155" s="56">
        <v>46256</v>
      </c>
      <c r="F155" t="s">
        <v>33</v>
      </c>
      <c r="G155" s="1">
        <v>7800000</v>
      </c>
      <c r="H155" s="1">
        <v>1</v>
      </c>
      <c r="I155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6" spans="1:9">
      <c r="A156">
        <v>160</v>
      </c>
      <c r="B156" s="31">
        <v>46257.917245370401</v>
      </c>
      <c r="C156" s="31">
        <v>46257.917812500003</v>
      </c>
      <c r="D156" t="s">
        <v>25</v>
      </c>
      <c r="E156" s="56">
        <v>46257</v>
      </c>
      <c r="F156" t="s">
        <v>32</v>
      </c>
      <c r="G156" s="1">
        <v>5650000</v>
      </c>
      <c r="H156" s="1">
        <v>1</v>
      </c>
      <c r="I156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7" spans="1:9">
      <c r="A157">
        <v>161</v>
      </c>
      <c r="B157" s="31">
        <v>46258.726631944402</v>
      </c>
      <c r="C157" s="31">
        <v>46258.726851851898</v>
      </c>
      <c r="D157" t="s">
        <v>43</v>
      </c>
      <c r="E157" s="56">
        <v>46258</v>
      </c>
      <c r="F157" t="s">
        <v>49</v>
      </c>
      <c r="G157" s="1">
        <v>14300000</v>
      </c>
      <c r="H157" s="1">
        <v>1</v>
      </c>
      <c r="I157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8" spans="1:9">
      <c r="A158">
        <v>162</v>
      </c>
      <c r="B158" s="31">
        <v>46259.572812500002</v>
      </c>
      <c r="C158" s="31">
        <v>46259.573067129597</v>
      </c>
      <c r="D158" t="s">
        <v>25</v>
      </c>
      <c r="E158" s="56">
        <v>46259</v>
      </c>
      <c r="F158" t="s">
        <v>33</v>
      </c>
      <c r="G158" s="1">
        <v>5590000</v>
      </c>
      <c r="H158" s="1">
        <v>1</v>
      </c>
      <c r="I158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59" spans="1:9">
      <c r="A159">
        <v>163</v>
      </c>
      <c r="B159" s="31">
        <v>46261.590057870402</v>
      </c>
      <c r="C159" s="31">
        <v>46261.590555555602</v>
      </c>
      <c r="D159" t="s">
        <v>48</v>
      </c>
      <c r="E159" s="56">
        <v>46261</v>
      </c>
      <c r="F159" t="s">
        <v>34</v>
      </c>
      <c r="G159" s="1">
        <v>18498000</v>
      </c>
      <c r="H159" s="1">
        <v>1</v>
      </c>
      <c r="I159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0" spans="1:9">
      <c r="A160">
        <v>164</v>
      </c>
      <c r="B160" s="31">
        <v>46262.5328240741</v>
      </c>
      <c r="C160" s="31">
        <v>46262.533287036997</v>
      </c>
      <c r="D160" t="s">
        <v>48</v>
      </c>
      <c r="E160" s="56">
        <v>46262</v>
      </c>
      <c r="F160" t="s">
        <v>35</v>
      </c>
      <c r="G160" s="1">
        <v>6149000</v>
      </c>
      <c r="H160" s="1">
        <v>1</v>
      </c>
      <c r="I160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1" spans="1:9">
      <c r="A161">
        <v>165</v>
      </c>
      <c r="B161" s="31">
        <v>46262.533425925903</v>
      </c>
      <c r="C161" s="31">
        <v>46262.533611111103</v>
      </c>
      <c r="D161" t="s">
        <v>43</v>
      </c>
      <c r="E161" s="56">
        <v>46262</v>
      </c>
      <c r="F161" t="s">
        <v>49</v>
      </c>
      <c r="G161" s="1">
        <v>6749000</v>
      </c>
      <c r="H161" s="1">
        <v>1</v>
      </c>
      <c r="I161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2" spans="1:9">
      <c r="A162">
        <v>166</v>
      </c>
      <c r="B162" s="31">
        <v>46262.6617708333</v>
      </c>
      <c r="C162" s="31">
        <v>46262.662974537001</v>
      </c>
      <c r="D162" t="s">
        <v>43</v>
      </c>
      <c r="E162" s="56">
        <v>46262</v>
      </c>
      <c r="F162" t="s">
        <v>10</v>
      </c>
      <c r="G162" s="1">
        <v>10100000</v>
      </c>
      <c r="H162" s="1">
        <v>1</v>
      </c>
      <c r="I162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3" spans="1:9">
      <c r="A163">
        <v>167</v>
      </c>
      <c r="B163" s="31">
        <v>46262.822395833296</v>
      </c>
      <c r="C163" s="31">
        <v>46262.822928240697</v>
      </c>
      <c r="D163" t="s">
        <v>48</v>
      </c>
      <c r="E163" s="56">
        <v>46262</v>
      </c>
      <c r="F163" t="s">
        <v>15</v>
      </c>
      <c r="G163" s="1">
        <v>13800000</v>
      </c>
      <c r="H163" s="1">
        <v>1</v>
      </c>
      <c r="I163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4" spans="1:9">
      <c r="A164">
        <v>168</v>
      </c>
      <c r="B164" s="31">
        <v>46263.5828819444</v>
      </c>
      <c r="C164" s="31">
        <v>46263.5831481481</v>
      </c>
      <c r="D164" t="s">
        <v>43</v>
      </c>
      <c r="E164" s="56">
        <v>46263</v>
      </c>
      <c r="F164" t="s">
        <v>10</v>
      </c>
      <c r="G164" s="1">
        <v>3055000</v>
      </c>
      <c r="H164" s="1">
        <v>1</v>
      </c>
      <c r="I164" s="69" t="str">
        <f>IF(OR(Table1[[#This Row],[Amount]]="", ISBLANK(Table1[[#This Row],[Amount]])), "", IFERROR(LOOKUP(Table1[[#This Row],[Amount]], {0;2500000;2500001;5000001}, {"Tier 0";"Tier 1";"Tier 2";"Tier 3"}), ""))</f>
        <v>Tier 2</v>
      </c>
    </row>
    <row r="165" spans="1:9">
      <c r="A165">
        <v>169</v>
      </c>
      <c r="B165" s="31">
        <v>46263.588518518503</v>
      </c>
      <c r="C165" s="31">
        <v>46263.589305555601</v>
      </c>
      <c r="D165" t="s">
        <v>43</v>
      </c>
      <c r="E165" s="56">
        <v>46263</v>
      </c>
      <c r="F165" t="s">
        <v>49</v>
      </c>
      <c r="G165" s="1">
        <v>19438000</v>
      </c>
      <c r="H165" s="1">
        <v>1</v>
      </c>
      <c r="I165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6" spans="1:9">
      <c r="A166">
        <v>170</v>
      </c>
      <c r="B166" s="31">
        <v>46264.823888888903</v>
      </c>
      <c r="C166" s="31">
        <v>46264.824305555601</v>
      </c>
      <c r="D166" t="s">
        <v>43</v>
      </c>
      <c r="E166" s="56">
        <v>46264</v>
      </c>
      <c r="F166" t="s">
        <v>10</v>
      </c>
      <c r="G166" s="1">
        <v>10799000</v>
      </c>
      <c r="H166" s="1">
        <v>1</v>
      </c>
      <c r="I166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7" spans="1:9">
      <c r="A167">
        <v>171</v>
      </c>
      <c r="B167" s="31">
        <v>46265.680439814802</v>
      </c>
      <c r="C167" s="31">
        <v>46265.6812615741</v>
      </c>
      <c r="D167" t="s">
        <v>43</v>
      </c>
      <c r="E167" s="56">
        <v>46265</v>
      </c>
      <c r="F167" t="s">
        <v>10</v>
      </c>
      <c r="G167" s="1">
        <v>12851240</v>
      </c>
      <c r="H167" s="1">
        <v>1</v>
      </c>
      <c r="I167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8" spans="1:9">
      <c r="A168">
        <v>172</v>
      </c>
      <c r="B168" s="31">
        <v>46265.903518518498</v>
      </c>
      <c r="C168" s="31">
        <v>46265.903796296298</v>
      </c>
      <c r="D168" t="s">
        <v>43</v>
      </c>
      <c r="E168" s="56">
        <v>46265</v>
      </c>
      <c r="F168" t="s">
        <v>49</v>
      </c>
      <c r="G168" s="1">
        <v>13109000</v>
      </c>
      <c r="H168" s="1">
        <v>1</v>
      </c>
      <c r="I168" s="69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69" spans="1:9">
      <c r="A169" s="72">
        <v>173</v>
      </c>
      <c r="B169" s="31">
        <v>46267.590150463002</v>
      </c>
      <c r="C169" s="31">
        <v>46267.590648148202</v>
      </c>
      <c r="D169" s="72" t="s">
        <v>43</v>
      </c>
      <c r="E169" s="56">
        <v>46267</v>
      </c>
      <c r="F169" s="72" t="s">
        <v>10</v>
      </c>
      <c r="G169" s="1">
        <v>19633309</v>
      </c>
      <c r="H169" s="1">
        <v>1</v>
      </c>
      <c r="I169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0" spans="1:9">
      <c r="A170" s="72">
        <v>174</v>
      </c>
      <c r="B170" s="31">
        <v>46268.570208333302</v>
      </c>
      <c r="C170" s="31">
        <v>46268.570694444403</v>
      </c>
      <c r="D170" s="72" t="s">
        <v>43</v>
      </c>
      <c r="E170" s="56">
        <v>46268</v>
      </c>
      <c r="F170" s="72" t="s">
        <v>10</v>
      </c>
      <c r="G170" s="1">
        <v>17827381</v>
      </c>
      <c r="H170" s="1">
        <v>1</v>
      </c>
      <c r="I170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1" spans="1:9">
      <c r="A171" s="72">
        <v>175</v>
      </c>
      <c r="B171" s="31">
        <v>46269.614039351902</v>
      </c>
      <c r="C171" s="31">
        <v>46269.614837963003</v>
      </c>
      <c r="D171" s="72" t="s">
        <v>43</v>
      </c>
      <c r="E171" s="56">
        <v>46269</v>
      </c>
      <c r="F171" s="72" t="s">
        <v>11</v>
      </c>
      <c r="G171" s="1">
        <v>12499000</v>
      </c>
      <c r="H171" s="1">
        <v>1</v>
      </c>
      <c r="I171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2" spans="1:9">
      <c r="A172" s="72">
        <v>176</v>
      </c>
      <c r="B172" s="31">
        <v>46269.856481481504</v>
      </c>
      <c r="C172" s="31">
        <v>46269.858379629601</v>
      </c>
      <c r="D172" s="72" t="s">
        <v>43</v>
      </c>
      <c r="E172" s="56">
        <v>46269</v>
      </c>
      <c r="F172" s="72" t="s">
        <v>11</v>
      </c>
      <c r="G172" s="1">
        <v>14045200</v>
      </c>
      <c r="H172" s="1">
        <v>1</v>
      </c>
      <c r="I172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3" spans="1:9">
      <c r="A173" s="72">
        <v>177</v>
      </c>
      <c r="B173" s="31">
        <v>46269.8660648148</v>
      </c>
      <c r="C173" s="31">
        <v>46269.866458333301</v>
      </c>
      <c r="D173" s="72" t="s">
        <v>48</v>
      </c>
      <c r="E173" s="56">
        <v>46269</v>
      </c>
      <c r="F173" s="72" t="s">
        <v>15</v>
      </c>
      <c r="G173" s="1">
        <v>17999000</v>
      </c>
      <c r="H173" s="1">
        <v>1</v>
      </c>
      <c r="I173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4" spans="1:9">
      <c r="A174" s="72">
        <v>178</v>
      </c>
      <c r="B174" s="31">
        <v>46270.583043981504</v>
      </c>
      <c r="C174" s="31">
        <v>46270.583402777796</v>
      </c>
      <c r="D174" s="72" t="s">
        <v>43</v>
      </c>
      <c r="E174" s="56">
        <v>46270</v>
      </c>
      <c r="F174" s="72" t="s">
        <v>10</v>
      </c>
      <c r="G174" s="1">
        <v>36812480</v>
      </c>
      <c r="H174" s="1">
        <v>1</v>
      </c>
      <c r="I174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5" spans="1:9">
      <c r="A175" s="72">
        <v>179</v>
      </c>
      <c r="B175" s="31">
        <v>46270.644328703696</v>
      </c>
      <c r="C175" s="31">
        <v>46270.645312499997</v>
      </c>
      <c r="D175" s="72" t="s">
        <v>43</v>
      </c>
      <c r="E175" s="56">
        <v>46270</v>
      </c>
      <c r="F175" s="72" t="s">
        <v>11</v>
      </c>
      <c r="G175" s="1">
        <v>33962260</v>
      </c>
      <c r="H175" s="1">
        <v>1</v>
      </c>
      <c r="I175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6" spans="1:9">
      <c r="A176" s="72">
        <v>180</v>
      </c>
      <c r="B176" s="31">
        <v>46270.752476851798</v>
      </c>
      <c r="C176" s="31">
        <v>46270.753912036998</v>
      </c>
      <c r="D176" s="72" t="s">
        <v>43</v>
      </c>
      <c r="E176" s="56">
        <v>46266</v>
      </c>
      <c r="F176" s="72" t="s">
        <v>11</v>
      </c>
      <c r="G176" s="1">
        <v>15453000</v>
      </c>
      <c r="H176" s="1">
        <v>1</v>
      </c>
      <c r="I176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7" spans="1:9">
      <c r="A177" s="72">
        <v>181</v>
      </c>
      <c r="B177" s="31">
        <v>46270.797870370399</v>
      </c>
      <c r="C177" s="31">
        <v>46270.803217592598</v>
      </c>
      <c r="D177" s="72" t="s">
        <v>43</v>
      </c>
      <c r="E177" s="56">
        <v>46270</v>
      </c>
      <c r="F177" s="72" t="s">
        <v>11</v>
      </c>
      <c r="G177" s="1">
        <v>9898000</v>
      </c>
      <c r="H177" s="1">
        <v>1</v>
      </c>
      <c r="I177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8" spans="1:9">
      <c r="A178" s="72">
        <v>182</v>
      </c>
      <c r="B178" s="31">
        <v>46270.889270833301</v>
      </c>
      <c r="C178" s="31">
        <v>46270.889571759297</v>
      </c>
      <c r="D178" s="72" t="s">
        <v>47</v>
      </c>
      <c r="E178" s="56">
        <v>46270</v>
      </c>
      <c r="F178" s="72" t="s">
        <v>14</v>
      </c>
      <c r="G178" s="1">
        <v>17208000</v>
      </c>
      <c r="H178" s="1">
        <v>1</v>
      </c>
      <c r="I178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79" spans="1:9">
      <c r="A179" s="72">
        <v>183</v>
      </c>
      <c r="B179" s="31">
        <v>46270.922557870399</v>
      </c>
      <c r="C179" s="31">
        <v>46270.922789351898</v>
      </c>
      <c r="D179" s="72" t="s">
        <v>48</v>
      </c>
      <c r="E179" s="56">
        <v>46270</v>
      </c>
      <c r="F179" s="72" t="s">
        <v>31</v>
      </c>
      <c r="G179" s="1">
        <v>16749000</v>
      </c>
      <c r="H179" s="1">
        <v>1</v>
      </c>
      <c r="I179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0" spans="1:9">
      <c r="A180" s="72">
        <v>184</v>
      </c>
      <c r="B180" s="31">
        <v>46271.625381944403</v>
      </c>
      <c r="C180" s="31">
        <v>46271.625821759299</v>
      </c>
      <c r="D180" s="72" t="s">
        <v>43</v>
      </c>
      <c r="E180" s="56">
        <v>46271</v>
      </c>
      <c r="F180" s="72" t="s">
        <v>10</v>
      </c>
      <c r="G180" s="1">
        <v>25248990</v>
      </c>
      <c r="H180" s="1">
        <v>1</v>
      </c>
      <c r="I180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1" spans="1:9">
      <c r="A181" s="72">
        <v>185</v>
      </c>
      <c r="B181" s="31">
        <v>46271.668101851901</v>
      </c>
      <c r="C181" s="31">
        <v>46271.669884259303</v>
      </c>
      <c r="D181" s="72" t="s">
        <v>43</v>
      </c>
      <c r="E181" s="56">
        <v>46271</v>
      </c>
      <c r="F181" s="72" t="s">
        <v>10</v>
      </c>
      <c r="G181" s="1">
        <v>11997990</v>
      </c>
      <c r="H181" s="1">
        <v>1</v>
      </c>
      <c r="I181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2" spans="1:9">
      <c r="A182" s="72">
        <v>186</v>
      </c>
      <c r="B182" s="31">
        <v>46271.773425925901</v>
      </c>
      <c r="C182" s="31">
        <v>46271.773738425902</v>
      </c>
      <c r="D182" s="72" t="s">
        <v>43</v>
      </c>
      <c r="E182" s="56">
        <v>46271</v>
      </c>
      <c r="F182" s="72" t="s">
        <v>10</v>
      </c>
      <c r="G182" s="1">
        <v>10605000</v>
      </c>
      <c r="H182" s="1">
        <v>1</v>
      </c>
      <c r="I182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3" spans="1:9">
      <c r="A183" s="72">
        <v>187</v>
      </c>
      <c r="B183" s="31">
        <v>46271.928356481498</v>
      </c>
      <c r="C183" s="31">
        <v>46271.929039351897</v>
      </c>
      <c r="D183" s="72" t="s">
        <v>47</v>
      </c>
      <c r="E183" s="56">
        <v>46271</v>
      </c>
      <c r="F183" s="72" t="s">
        <v>34</v>
      </c>
      <c r="G183" s="1">
        <v>13909000</v>
      </c>
      <c r="H183" s="1">
        <v>1</v>
      </c>
      <c r="I183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4" spans="1:9">
      <c r="A184" s="72">
        <v>188</v>
      </c>
      <c r="B184" s="31">
        <v>46272.785856481503</v>
      </c>
      <c r="C184" s="31">
        <v>46272.786157407398</v>
      </c>
      <c r="D184" s="72" t="s">
        <v>48</v>
      </c>
      <c r="E184" s="56">
        <v>46272</v>
      </c>
      <c r="F184" s="72" t="s">
        <v>35</v>
      </c>
      <c r="G184" s="1">
        <v>11999000</v>
      </c>
      <c r="H184" s="1">
        <v>1</v>
      </c>
      <c r="I184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5" spans="1:9">
      <c r="A185" s="72">
        <v>189</v>
      </c>
      <c r="B185" s="31">
        <v>46272.900451388901</v>
      </c>
      <c r="C185" s="31">
        <v>46272.900856481501</v>
      </c>
      <c r="D185" s="72" t="s">
        <v>43</v>
      </c>
      <c r="E185" s="56">
        <v>46272</v>
      </c>
      <c r="F185" s="72" t="s">
        <v>10</v>
      </c>
      <c r="G185" s="1">
        <v>11009000</v>
      </c>
      <c r="H185" s="1">
        <v>1</v>
      </c>
      <c r="I185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6" spans="1:9">
      <c r="A186" s="72">
        <v>190</v>
      </c>
      <c r="B186" s="31">
        <v>46272.915462962999</v>
      </c>
      <c r="C186" s="31">
        <v>46272.915914351797</v>
      </c>
      <c r="D186" s="72" t="s">
        <v>43</v>
      </c>
      <c r="E186" s="56">
        <v>46272</v>
      </c>
      <c r="F186" s="72" t="s">
        <v>10</v>
      </c>
      <c r="G186" s="1">
        <v>10100</v>
      </c>
      <c r="H186" s="1">
        <v>1</v>
      </c>
      <c r="I186" s="73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187" spans="1:9">
      <c r="A187" s="72">
        <v>191</v>
      </c>
      <c r="B187" s="31">
        <v>46272.946909722203</v>
      </c>
      <c r="C187" s="31">
        <v>46272.947210648097</v>
      </c>
      <c r="D187" s="72" t="s">
        <v>48</v>
      </c>
      <c r="E187" s="56">
        <v>46272</v>
      </c>
      <c r="F187" s="72" t="s">
        <v>35</v>
      </c>
      <c r="G187" s="1">
        <v>6164000</v>
      </c>
      <c r="H187" s="1">
        <v>1</v>
      </c>
      <c r="I187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8" spans="1:9">
      <c r="A188" s="72">
        <v>192</v>
      </c>
      <c r="B188" s="31">
        <v>46273.890393518501</v>
      </c>
      <c r="C188" s="31">
        <v>46273.890567129602</v>
      </c>
      <c r="D188" s="72" t="s">
        <v>47</v>
      </c>
      <c r="E188" s="56">
        <v>46273</v>
      </c>
      <c r="F188" s="72" t="s">
        <v>14</v>
      </c>
      <c r="G188" s="1">
        <v>14009000</v>
      </c>
      <c r="H188" s="1">
        <v>1</v>
      </c>
      <c r="I188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89" spans="1:9">
      <c r="A189" s="72">
        <v>193</v>
      </c>
      <c r="B189" s="31">
        <v>46273.902025463001</v>
      </c>
      <c r="C189" s="31">
        <v>46273.902523148201</v>
      </c>
      <c r="D189" s="72" t="s">
        <v>43</v>
      </c>
      <c r="E189" s="56">
        <v>46273</v>
      </c>
      <c r="F189" s="72" t="s">
        <v>11</v>
      </c>
      <c r="G189" s="1">
        <v>12524000</v>
      </c>
      <c r="H189" s="1">
        <v>1</v>
      </c>
      <c r="I189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0" spans="1:9">
      <c r="A190" s="72">
        <v>194</v>
      </c>
      <c r="B190" s="31">
        <v>46273.943715277797</v>
      </c>
      <c r="C190" s="31">
        <v>46273.9440046296</v>
      </c>
      <c r="D190" s="72" t="s">
        <v>48</v>
      </c>
      <c r="E190" s="56">
        <v>46273</v>
      </c>
      <c r="F190" s="72" t="s">
        <v>15</v>
      </c>
      <c r="G190" s="1">
        <v>7299000</v>
      </c>
      <c r="H190" s="1">
        <v>1</v>
      </c>
      <c r="I190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1" spans="1:9">
      <c r="A191" s="72">
        <v>195</v>
      </c>
      <c r="B191" s="74">
        <v>46274.889895833301</v>
      </c>
      <c r="C191" s="74">
        <v>46274.890162037002</v>
      </c>
      <c r="D191" s="72" t="s">
        <v>48</v>
      </c>
      <c r="E191" s="75">
        <v>46274</v>
      </c>
      <c r="F191" s="72" t="s">
        <v>15</v>
      </c>
      <c r="G191" s="1">
        <v>17150000</v>
      </c>
      <c r="H191" s="1">
        <v>1</v>
      </c>
      <c r="I191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2" spans="1:9">
      <c r="A192" s="72">
        <v>196</v>
      </c>
      <c r="B192" s="74">
        <v>46275.763807870397</v>
      </c>
      <c r="C192" s="74">
        <v>46275.764224537001</v>
      </c>
      <c r="D192" s="72" t="s">
        <v>43</v>
      </c>
      <c r="E192" s="75">
        <v>46275</v>
      </c>
      <c r="F192" s="72" t="s">
        <v>10</v>
      </c>
      <c r="G192" s="1">
        <v>14544000</v>
      </c>
      <c r="H192" s="1">
        <v>1</v>
      </c>
      <c r="I192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3" spans="1:9">
      <c r="A193" s="72">
        <v>197</v>
      </c>
      <c r="B193" s="74">
        <v>46275.8953819444</v>
      </c>
      <c r="C193" s="74">
        <v>46275.895787037</v>
      </c>
      <c r="D193" s="72" t="s">
        <v>48</v>
      </c>
      <c r="E193" s="75">
        <v>46275</v>
      </c>
      <c r="F193" s="72" t="s">
        <v>15</v>
      </c>
      <c r="G193" s="1">
        <v>13397000</v>
      </c>
      <c r="H193" s="1">
        <v>1</v>
      </c>
      <c r="I193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4" spans="1:9">
      <c r="A194" s="72">
        <v>198</v>
      </c>
      <c r="B194" s="74">
        <v>46276.547384259298</v>
      </c>
      <c r="C194" s="74">
        <v>46276.5479513889</v>
      </c>
      <c r="D194" s="72" t="s">
        <v>43</v>
      </c>
      <c r="E194" s="75">
        <v>46276</v>
      </c>
      <c r="F194" s="72" t="s">
        <v>11</v>
      </c>
      <c r="G194" s="1">
        <v>11817000</v>
      </c>
      <c r="H194" s="1">
        <v>1</v>
      </c>
      <c r="I194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5" spans="1:9">
      <c r="A195" s="72">
        <v>199</v>
      </c>
      <c r="B195" s="74">
        <v>46277.629062499997</v>
      </c>
      <c r="C195" s="74">
        <v>46277.632152777798</v>
      </c>
      <c r="D195" s="72" t="s">
        <v>43</v>
      </c>
      <c r="E195" s="75">
        <v>46277</v>
      </c>
      <c r="F195" s="72" t="s">
        <v>10</v>
      </c>
      <c r="G195" s="1">
        <v>9999000</v>
      </c>
      <c r="H195" s="1">
        <v>1</v>
      </c>
      <c r="I195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6" spans="1:9">
      <c r="A196" s="72">
        <v>200</v>
      </c>
      <c r="B196" s="74">
        <v>46277.684942129599</v>
      </c>
      <c r="C196" s="74">
        <v>46277.685196759303</v>
      </c>
      <c r="D196" s="72" t="s">
        <v>47</v>
      </c>
      <c r="E196" s="75">
        <v>46277</v>
      </c>
      <c r="F196" s="72" t="s">
        <v>35</v>
      </c>
      <c r="G196" s="1">
        <v>14314000</v>
      </c>
      <c r="H196" s="1">
        <v>1</v>
      </c>
      <c r="I196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7" spans="1:9">
      <c r="A197" s="72">
        <v>201</v>
      </c>
      <c r="B197" s="74">
        <v>46277.856851851902</v>
      </c>
      <c r="C197" s="74">
        <v>46277.857291666704</v>
      </c>
      <c r="D197" s="72" t="s">
        <v>43</v>
      </c>
      <c r="E197" s="75">
        <v>46277</v>
      </c>
      <c r="F197" s="72" t="s">
        <v>10</v>
      </c>
      <c r="G197" s="1">
        <v>40901970</v>
      </c>
      <c r="H197" s="1">
        <v>1</v>
      </c>
      <c r="I197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198" spans="1:9">
      <c r="A198" s="72">
        <v>202</v>
      </c>
      <c r="B198" s="74">
        <v>46277.907800925903</v>
      </c>
      <c r="C198" s="74">
        <v>46277.908726851798</v>
      </c>
      <c r="D198" s="72" t="s">
        <v>43</v>
      </c>
      <c r="E198" s="75">
        <v>46277</v>
      </c>
      <c r="F198" s="72" t="s">
        <v>11</v>
      </c>
      <c r="G198" s="1">
        <v>574690</v>
      </c>
      <c r="H198" s="1">
        <v>1</v>
      </c>
      <c r="I198" s="73" t="str">
        <f>IF(OR(Table1[[#This Row],[Amount]]="", ISBLANK(Table1[[#This Row],[Amount]])), "", IFERROR(LOOKUP(Table1[[#This Row],[Amount]], {0;2500000;2500001;5000001}, {"Tier 0";"Tier 1";"Tier 2";"Tier 3"}), ""))</f>
        <v>Tier 0</v>
      </c>
    </row>
    <row r="199" spans="1:9">
      <c r="A199" s="72">
        <v>203</v>
      </c>
      <c r="B199" s="74">
        <v>46278.621412036999</v>
      </c>
      <c r="C199" s="74">
        <v>46278.621759259302</v>
      </c>
      <c r="D199" s="72" t="s">
        <v>43</v>
      </c>
      <c r="E199" s="75">
        <v>46278</v>
      </c>
      <c r="F199" s="72" t="s">
        <v>11</v>
      </c>
      <c r="G199" s="1">
        <v>11817000</v>
      </c>
      <c r="H199" s="1">
        <v>1</v>
      </c>
      <c r="I199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0" spans="1:9">
      <c r="A200" s="72">
        <v>204</v>
      </c>
      <c r="B200" s="74">
        <v>46278.696631944404</v>
      </c>
      <c r="C200" s="74">
        <v>46278.6972453704</v>
      </c>
      <c r="D200" s="72" t="s">
        <v>43</v>
      </c>
      <c r="E200" s="75">
        <v>46278</v>
      </c>
      <c r="F200" s="72" t="s">
        <v>11</v>
      </c>
      <c r="G200" s="1">
        <v>15756000</v>
      </c>
      <c r="H200" s="1">
        <v>1</v>
      </c>
      <c r="I200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1" spans="1:9">
      <c r="A201" s="72">
        <v>205</v>
      </c>
      <c r="B201" s="74">
        <v>46278.7324884259</v>
      </c>
      <c r="C201" s="74">
        <v>46278.732743055603</v>
      </c>
      <c r="D201" s="72" t="s">
        <v>47</v>
      </c>
      <c r="E201" s="75">
        <v>46278</v>
      </c>
      <c r="F201" s="72" t="s">
        <v>32</v>
      </c>
      <c r="G201" s="1">
        <v>12409000</v>
      </c>
      <c r="H201" s="1">
        <v>1</v>
      </c>
      <c r="I201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2" spans="1:9">
      <c r="A202" s="72">
        <v>206</v>
      </c>
      <c r="B202" s="74">
        <v>46278.864641203698</v>
      </c>
      <c r="C202" s="74">
        <v>46278.865081018499</v>
      </c>
      <c r="D202" s="72" t="s">
        <v>43</v>
      </c>
      <c r="E202" s="75">
        <v>46278</v>
      </c>
      <c r="F202" s="72" t="s">
        <v>11</v>
      </c>
      <c r="G202" s="1">
        <v>11781000</v>
      </c>
      <c r="H202" s="1">
        <v>1</v>
      </c>
      <c r="I202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3" spans="1:9">
      <c r="A203" s="72">
        <v>207</v>
      </c>
      <c r="B203" s="74">
        <v>46279.605266203696</v>
      </c>
      <c r="C203" s="74">
        <v>46279.605520833298</v>
      </c>
      <c r="D203" s="72" t="s">
        <v>43</v>
      </c>
      <c r="E203" s="75">
        <v>46279</v>
      </c>
      <c r="F203" s="72" t="s">
        <v>10</v>
      </c>
      <c r="G203" s="1">
        <v>14594500</v>
      </c>
      <c r="H203" s="1">
        <v>1</v>
      </c>
      <c r="I203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4" spans="1:9">
      <c r="A204" s="72">
        <v>208</v>
      </c>
      <c r="B204" s="74">
        <v>46279.641550925902</v>
      </c>
      <c r="C204" s="74">
        <v>46279.641956018502</v>
      </c>
      <c r="D204" s="72" t="s">
        <v>43</v>
      </c>
      <c r="E204" s="75">
        <v>46279</v>
      </c>
      <c r="F204" s="72" t="s">
        <v>11</v>
      </c>
      <c r="G204" s="1">
        <v>13500000</v>
      </c>
      <c r="H204" s="1">
        <v>1</v>
      </c>
      <c r="I204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5" spans="1:9">
      <c r="A205" s="72">
        <v>209</v>
      </c>
      <c r="B205" s="74">
        <v>46279.878958333298</v>
      </c>
      <c r="C205" s="74">
        <v>46279.879236111097</v>
      </c>
      <c r="D205" s="72" t="s">
        <v>47</v>
      </c>
      <c r="E205" s="75">
        <v>46279</v>
      </c>
      <c r="F205" s="72" t="s">
        <v>35</v>
      </c>
      <c r="G205" s="1">
        <v>12909000</v>
      </c>
      <c r="H205" s="1">
        <v>1</v>
      </c>
      <c r="I205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6" spans="1:9">
      <c r="A206" s="72">
        <v>210</v>
      </c>
      <c r="B206" s="74">
        <v>46280.6578240741</v>
      </c>
      <c r="C206" s="74">
        <v>46280.658379629604</v>
      </c>
      <c r="D206" s="72" t="s">
        <v>43</v>
      </c>
      <c r="E206" s="75">
        <v>46280</v>
      </c>
      <c r="F206" s="72" t="s">
        <v>11</v>
      </c>
      <c r="G206" s="1">
        <v>29682890</v>
      </c>
      <c r="H206" s="1">
        <v>1</v>
      </c>
      <c r="I206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7" spans="1:9">
      <c r="A207" s="72">
        <v>211</v>
      </c>
      <c r="B207" s="74">
        <v>46280.7485185185</v>
      </c>
      <c r="C207" s="74">
        <v>46280.749039351896</v>
      </c>
      <c r="D207" s="72" t="s">
        <v>47</v>
      </c>
      <c r="E207" s="75">
        <v>46279</v>
      </c>
      <c r="F207" s="72" t="s">
        <v>14</v>
      </c>
      <c r="G207" s="1">
        <v>7959000</v>
      </c>
      <c r="H207" s="1">
        <v>1</v>
      </c>
      <c r="I207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8" spans="1:9">
      <c r="A208" s="72">
        <v>212</v>
      </c>
      <c r="B208" s="74">
        <v>46280.775312500002</v>
      </c>
      <c r="C208" s="74">
        <v>46280.775613425903</v>
      </c>
      <c r="D208" s="72" t="s">
        <v>43</v>
      </c>
      <c r="E208" s="75">
        <v>46280</v>
      </c>
      <c r="F208" s="72" t="s">
        <v>11</v>
      </c>
      <c r="G208" s="1">
        <v>23228990</v>
      </c>
      <c r="H208" s="1">
        <v>1</v>
      </c>
      <c r="I208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09" spans="1:9">
      <c r="A209" s="72">
        <v>213</v>
      </c>
      <c r="B209" s="74">
        <v>46280.785069444399</v>
      </c>
      <c r="C209" s="74">
        <v>46280.785381944399</v>
      </c>
      <c r="D209" s="72" t="s">
        <v>47</v>
      </c>
      <c r="E209" s="75">
        <v>46280</v>
      </c>
      <c r="F209" s="72" t="s">
        <v>14</v>
      </c>
      <c r="G209" s="1">
        <v>17313000</v>
      </c>
      <c r="H209" s="1">
        <v>1</v>
      </c>
      <c r="I209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0" spans="1:9">
      <c r="A210" s="72">
        <v>214</v>
      </c>
      <c r="B210" s="74">
        <v>46281.856157407397</v>
      </c>
      <c r="C210" s="74">
        <v>46281.856446759302</v>
      </c>
      <c r="D210" s="72" t="s">
        <v>43</v>
      </c>
      <c r="E210" s="75">
        <v>46281</v>
      </c>
      <c r="F210" s="72" t="s">
        <v>10</v>
      </c>
      <c r="G210" s="1">
        <v>11817000</v>
      </c>
      <c r="H210" s="1">
        <v>1</v>
      </c>
      <c r="I210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1" spans="1:9">
      <c r="A211" s="72">
        <v>215</v>
      </c>
      <c r="B211" s="74">
        <v>46282.549085648097</v>
      </c>
      <c r="C211" s="74">
        <v>46282.549432870401</v>
      </c>
      <c r="D211" s="72" t="s">
        <v>43</v>
      </c>
      <c r="E211" s="75">
        <v>46282</v>
      </c>
      <c r="F211" s="72" t="s">
        <v>10</v>
      </c>
      <c r="G211" s="1">
        <v>25089410</v>
      </c>
      <c r="H211" s="1">
        <v>1</v>
      </c>
      <c r="I211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2" spans="1:9">
      <c r="A212" s="72">
        <v>216</v>
      </c>
      <c r="B212" s="74">
        <v>46283.451689814799</v>
      </c>
      <c r="C212" s="74">
        <v>46283.452210648102</v>
      </c>
      <c r="D212" s="72" t="s">
        <v>43</v>
      </c>
      <c r="E212" s="75">
        <v>46283</v>
      </c>
      <c r="F212" s="72" t="s">
        <v>10</v>
      </c>
      <c r="G212" s="1">
        <v>15352000</v>
      </c>
      <c r="H212" s="1">
        <v>1</v>
      </c>
      <c r="I212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3" spans="1:9">
      <c r="A213" s="72">
        <v>217</v>
      </c>
      <c r="B213" s="74">
        <v>46284.547523148103</v>
      </c>
      <c r="C213" s="74">
        <v>46284.547893518502</v>
      </c>
      <c r="D213" s="72" t="s">
        <v>43</v>
      </c>
      <c r="E213" s="75">
        <v>46284</v>
      </c>
      <c r="F213" s="72" t="s">
        <v>10</v>
      </c>
      <c r="G213" s="1">
        <v>26673090</v>
      </c>
      <c r="H213" s="1">
        <v>1</v>
      </c>
      <c r="I213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4" spans="1:9">
      <c r="A214" s="72">
        <v>218</v>
      </c>
      <c r="B214" s="74">
        <v>46284.756064814799</v>
      </c>
      <c r="C214" s="74">
        <v>46284.756458333301</v>
      </c>
      <c r="D214" s="72" t="s">
        <v>48</v>
      </c>
      <c r="E214" s="75">
        <v>46270</v>
      </c>
      <c r="F214" s="72" t="s">
        <v>15</v>
      </c>
      <c r="G214" s="1">
        <v>16749000</v>
      </c>
      <c r="H214" s="1">
        <v>1</v>
      </c>
      <c r="I214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5" spans="1:9">
      <c r="A215" s="72">
        <v>219</v>
      </c>
      <c r="B215" s="74">
        <v>46284.757256944402</v>
      </c>
      <c r="C215" s="74">
        <v>46284.758634259299</v>
      </c>
      <c r="D215" s="72" t="s">
        <v>48</v>
      </c>
      <c r="E215" s="75">
        <v>46272</v>
      </c>
      <c r="F215" s="72" t="s">
        <v>15</v>
      </c>
      <c r="G215" s="1">
        <v>11999000</v>
      </c>
      <c r="H215" s="1">
        <v>1</v>
      </c>
      <c r="I215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6" spans="1:9">
      <c r="A216" s="72">
        <v>220</v>
      </c>
      <c r="B216" s="74">
        <v>46284.758784722202</v>
      </c>
      <c r="C216" s="74">
        <v>46284.759328703702</v>
      </c>
      <c r="D216" s="72" t="s">
        <v>48</v>
      </c>
      <c r="E216" s="75">
        <v>46272</v>
      </c>
      <c r="F216" s="72" t="s">
        <v>15</v>
      </c>
      <c r="G216" s="1">
        <v>6164000</v>
      </c>
      <c r="H216" s="1">
        <v>1</v>
      </c>
      <c r="I216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7" spans="1:9">
      <c r="A217" s="72">
        <v>221</v>
      </c>
      <c r="B217" s="74">
        <v>46284.893912036998</v>
      </c>
      <c r="C217" s="74">
        <v>46284.894212963001</v>
      </c>
      <c r="D217" s="72" t="s">
        <v>47</v>
      </c>
      <c r="E217" s="75">
        <v>46284</v>
      </c>
      <c r="F217" s="72" t="s">
        <v>14</v>
      </c>
      <c r="G217" s="1">
        <v>26409000</v>
      </c>
      <c r="H217" s="1">
        <v>1</v>
      </c>
      <c r="I217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8" spans="1:9">
      <c r="A218" s="72">
        <v>222</v>
      </c>
      <c r="B218" s="74">
        <v>46287.429039351897</v>
      </c>
      <c r="C218" s="74">
        <v>46287.429375</v>
      </c>
      <c r="D218" s="72" t="s">
        <v>47</v>
      </c>
      <c r="E218" s="75">
        <v>46271</v>
      </c>
      <c r="F218" s="72" t="s">
        <v>14</v>
      </c>
      <c r="G218" s="1">
        <v>13909000</v>
      </c>
      <c r="H218" s="1">
        <v>1</v>
      </c>
      <c r="I218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19" spans="1:9">
      <c r="A219" s="72">
        <v>223</v>
      </c>
      <c r="B219" s="74">
        <v>46287.4295486111</v>
      </c>
      <c r="C219" s="74">
        <v>46287.429849537002</v>
      </c>
      <c r="D219" s="72" t="s">
        <v>47</v>
      </c>
      <c r="E219" s="75">
        <v>46277</v>
      </c>
      <c r="F219" s="72" t="s">
        <v>14</v>
      </c>
      <c r="G219" s="1">
        <v>14314000</v>
      </c>
      <c r="H219" s="1">
        <v>1</v>
      </c>
      <c r="I219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20" spans="1:9">
      <c r="A220" s="72">
        <v>224</v>
      </c>
      <c r="B220" s="74">
        <v>46287.430011574099</v>
      </c>
      <c r="C220" s="74">
        <v>46287.430162037002</v>
      </c>
      <c r="D220" s="72" t="s">
        <v>47</v>
      </c>
      <c r="E220" s="75">
        <v>46278</v>
      </c>
      <c r="F220" s="72" t="s">
        <v>14</v>
      </c>
      <c r="G220" s="1">
        <v>12409000</v>
      </c>
      <c r="H220" s="1">
        <v>1</v>
      </c>
      <c r="I220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21" spans="1:9">
      <c r="A221" s="72">
        <v>225</v>
      </c>
      <c r="B221" s="74">
        <v>46287.430312500001</v>
      </c>
      <c r="C221" s="74">
        <v>46287.430486111101</v>
      </c>
      <c r="D221" s="72" t="s">
        <v>47</v>
      </c>
      <c r="E221" s="75">
        <v>46278</v>
      </c>
      <c r="F221" s="72" t="s">
        <v>14</v>
      </c>
      <c r="G221" s="1">
        <v>8638000</v>
      </c>
      <c r="H221" s="1">
        <v>1</v>
      </c>
      <c r="I221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22" spans="1:9">
      <c r="A222" s="72">
        <v>226</v>
      </c>
      <c r="B222" s="74">
        <v>46287.430671296301</v>
      </c>
      <c r="C222" s="74">
        <v>46287.430821759299</v>
      </c>
      <c r="D222" s="72" t="s">
        <v>47</v>
      </c>
      <c r="E222" s="75">
        <v>46279</v>
      </c>
      <c r="F222" s="72" t="s">
        <v>14</v>
      </c>
      <c r="G222" s="1">
        <v>12909000</v>
      </c>
      <c r="H222" s="1">
        <v>1</v>
      </c>
      <c r="I222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23" spans="1:9">
      <c r="A223" s="72">
        <v>227</v>
      </c>
      <c r="B223" s="74">
        <v>46287.583703703698</v>
      </c>
      <c r="C223" s="74">
        <v>46287.584444444401</v>
      </c>
      <c r="D223" s="72" t="s">
        <v>47</v>
      </c>
      <c r="E223" s="75">
        <v>46287</v>
      </c>
      <c r="F223" s="72" t="s">
        <v>35</v>
      </c>
      <c r="G223" s="1">
        <v>10000000</v>
      </c>
      <c r="H223" s="1">
        <v>1</v>
      </c>
      <c r="I223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24" spans="1:9">
      <c r="A224" s="72">
        <v>228</v>
      </c>
      <c r="B224" s="74">
        <v>46287.653935185197</v>
      </c>
      <c r="C224" s="74">
        <v>46287.654409722199</v>
      </c>
      <c r="D224" s="72" t="s">
        <v>43</v>
      </c>
      <c r="E224" s="75">
        <v>46287</v>
      </c>
      <c r="F224" s="72" t="s">
        <v>11</v>
      </c>
      <c r="G224" s="1">
        <v>14078390</v>
      </c>
      <c r="H224" s="1">
        <v>1</v>
      </c>
      <c r="I224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  <row r="225" spans="1:9">
      <c r="A225" s="72">
        <v>229</v>
      </c>
      <c r="B225" s="74">
        <v>46287.654571759304</v>
      </c>
      <c r="C225" s="74">
        <v>46287.654895833301</v>
      </c>
      <c r="D225" s="72" t="s">
        <v>43</v>
      </c>
      <c r="E225" s="75">
        <v>46287</v>
      </c>
      <c r="F225" s="72" t="s">
        <v>11</v>
      </c>
      <c r="G225" s="1">
        <v>14594500</v>
      </c>
      <c r="H225" s="1">
        <v>1</v>
      </c>
      <c r="I225" s="73" t="str">
        <f>IF(OR(Table1[[#This Row],[Amount]]="", ISBLANK(Table1[[#This Row],[Amount]])), "", IFERROR(LOOKUP(Table1[[#This Row],[Amount]], {0;2500000;2500001;5000001}, {"Tier 0";"Tier 1";"Tier 2";"Tier 3"}), ""))</f>
        <v>Tier 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M268 Rahman Ibrahim</cp:lastModifiedBy>
  <cp:revision/>
  <dcterms:created xsi:type="dcterms:W3CDTF">2026-05-13T06:06:09Z</dcterms:created>
  <dcterms:modified xsi:type="dcterms:W3CDTF">2026-09-23T16:15:34Z</dcterms:modified>
  <cp:category/>
  <cp:contentStatus/>
</cp:coreProperties>
</file>